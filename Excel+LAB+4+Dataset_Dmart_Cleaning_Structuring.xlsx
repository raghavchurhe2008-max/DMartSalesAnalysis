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AdvExcel\"/>
    </mc:Choice>
  </mc:AlternateContent>
  <xr:revisionPtr revIDLastSave="0" documentId="13_ncr:1_{B5E1FE9F-3F9C-49F4-9110-47F8D26B3FEB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DMart_Data_Set" sheetId="1" r:id="rId1"/>
    <sheet name="CustomList" sheetId="3" r:id="rId2"/>
    <sheet name="CustomList2" sheetId="4" r:id="rId3"/>
    <sheet name="CustomData" sheetId="5" r:id="rId4"/>
    <sheet name="Sheet1" sheetId="6" r:id="rId5"/>
    <sheet name="Sheet2" sheetId="7" r:id="rId6"/>
    <sheet name="Sheet3" sheetId="9" r:id="rId7"/>
  </sheets>
  <definedNames>
    <definedName name="Orders">DMart_Sales_Data[OrderID]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S46" i="1"/>
  <c r="S44" i="1"/>
  <c r="S43" i="1"/>
  <c r="S41" i="1"/>
  <c r="S40" i="1"/>
  <c r="S39" i="1"/>
  <c r="S38" i="1"/>
  <c r="S36" i="1"/>
  <c r="S35" i="1"/>
  <c r="S34" i="1"/>
  <c r="S33" i="1"/>
  <c r="S31" i="1"/>
  <c r="S28" i="1"/>
  <c r="S27" i="1"/>
  <c r="S26" i="1"/>
  <c r="S25" i="1"/>
  <c r="S24" i="1"/>
  <c r="S22" i="1"/>
  <c r="S21" i="1"/>
  <c r="S20" i="1"/>
  <c r="S19" i="1"/>
  <c r="S16" i="1"/>
  <c r="S14" i="1"/>
  <c r="R21" i="5"/>
  <c r="S8" i="1"/>
  <c r="S12" i="1"/>
  <c r="S10" i="1"/>
  <c r="P4" i="1"/>
  <c r="D45" i="5"/>
  <c r="P2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5" i="5"/>
  <c r="R4" i="5"/>
  <c r="R6" i="5"/>
  <c r="R7" i="5"/>
  <c r="R3" i="5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35" i="5"/>
  <c r="F35" i="5" s="1"/>
  <c r="G20" i="5"/>
  <c r="G21" i="5"/>
  <c r="G24" i="5"/>
  <c r="G25" i="5"/>
  <c r="G26" i="5"/>
  <c r="G27" i="5"/>
  <c r="G28" i="5"/>
  <c r="G29" i="5"/>
  <c r="G30" i="5"/>
  <c r="G19" i="5"/>
  <c r="K12" i="5"/>
  <c r="K13" i="5"/>
  <c r="K14" i="5"/>
  <c r="K11" i="5"/>
  <c r="L3" i="5"/>
  <c r="L4" i="5"/>
  <c r="L5" i="5"/>
  <c r="L6" i="5"/>
  <c r="F3" i="5"/>
  <c r="F5" i="5"/>
  <c r="F6" i="5"/>
  <c r="F7" i="5"/>
  <c r="F8" i="5"/>
  <c r="F9" i="5"/>
  <c r="F10" i="5"/>
  <c r="F11" i="5"/>
  <c r="F12" i="5"/>
  <c r="F13" i="5"/>
  <c r="F14" i="5"/>
  <c r="F4" i="5"/>
  <c r="N499" i="1"/>
  <c r="N1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</calcChain>
</file>

<file path=xl/sharedStrings.xml><?xml version="1.0" encoding="utf-8"?>
<sst xmlns="http://schemas.openxmlformats.org/spreadsheetml/2006/main" count="3746" uniqueCount="686">
  <si>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</si>
  <si>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</si>
  <si>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</si>
  <si>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</si>
  <si>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</si>
  <si>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</si>
  <si>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</si>
  <si>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</si>
  <si>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</si>
  <si>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</si>
  <si>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</si>
  <si>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</si>
  <si>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</si>
  <si>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</si>
  <si>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</si>
  <si>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</si>
  <si>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</si>
  <si>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</si>
  <si>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</si>
  <si>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</si>
  <si>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</si>
  <si>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</si>
  <si>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</si>
  <si>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</si>
  <si>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</si>
  <si>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</si>
  <si>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</si>
  <si>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</si>
  <si>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</si>
  <si>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</si>
  <si>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</si>
  <si>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</si>
  <si>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</si>
  <si>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</si>
  <si>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</si>
  <si>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</si>
  <si>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</si>
  <si>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</si>
  <si>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</si>
  <si>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</si>
  <si>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</si>
  <si>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</si>
  <si>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</si>
  <si>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</si>
  <si>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</si>
  <si>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</si>
  <si>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</si>
  <si>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</si>
  <si>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</si>
  <si>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</si>
  <si>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</si>
  <si>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</si>
  <si>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</si>
  <si>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</si>
  <si>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</si>
  <si>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</si>
  <si>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</si>
  <si>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</si>
  <si>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</si>
  <si>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</si>
  <si>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</si>
  <si>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</si>
  <si>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</si>
  <si>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</si>
  <si>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</si>
  <si>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</si>
  <si>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</si>
  <si>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</si>
  <si>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</si>
  <si>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</si>
  <si>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</si>
  <si>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</si>
  <si>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</si>
  <si>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</si>
  <si>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</si>
  <si>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</si>
  <si>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</si>
  <si>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</si>
  <si>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</si>
  <si>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</si>
  <si>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</si>
  <si>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</si>
  <si>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</si>
  <si>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</si>
  <si>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</si>
  <si>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</si>
  <si>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</si>
  <si>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</si>
  <si>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</si>
  <si>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</si>
  <si>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</si>
  <si>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</si>
  <si>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</si>
  <si>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</si>
  <si>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</si>
  <si>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</si>
  <si>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</si>
  <si>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</si>
  <si>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</si>
  <si>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</si>
  <si>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</si>
  <si>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</si>
  <si>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</si>
  <si>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</si>
  <si>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</si>
  <si>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</si>
  <si>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</si>
  <si>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</si>
  <si>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</si>
  <si>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</si>
  <si>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</si>
  <si>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</si>
  <si>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</si>
  <si>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</si>
  <si>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</si>
  <si>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</si>
  <si>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</si>
  <si>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</si>
  <si>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</si>
  <si>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</si>
  <si>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</si>
  <si>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</si>
  <si>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</si>
  <si>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</si>
  <si>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</si>
  <si>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</si>
  <si>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</si>
  <si>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</si>
  <si>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</si>
  <si>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</si>
  <si>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</si>
  <si>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</si>
  <si>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</si>
  <si>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</si>
  <si>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</si>
  <si>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</si>
  <si>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</si>
  <si>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</si>
  <si>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</si>
  <si>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</si>
  <si>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</si>
  <si>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</si>
  <si>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</si>
  <si>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</si>
  <si>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</si>
  <si>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</si>
  <si>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</si>
  <si>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</si>
  <si>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</si>
  <si>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</si>
  <si>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</si>
  <si>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</si>
  <si>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</si>
  <si>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</si>
  <si>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</si>
  <si>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</si>
  <si>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</si>
  <si>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</si>
  <si>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</si>
  <si>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</si>
  <si>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</si>
  <si>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</si>
  <si>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</si>
  <si>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</si>
  <si>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</si>
  <si>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</si>
  <si>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</si>
  <si>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</si>
  <si>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</si>
  <si>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</si>
  <si>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</si>
  <si>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</si>
  <si>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</si>
  <si>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</si>
  <si>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</si>
  <si>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</si>
  <si>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</si>
  <si>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</si>
  <si>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</si>
  <si>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</si>
  <si>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</si>
  <si>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</si>
  <si>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</si>
  <si>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</si>
  <si>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</si>
  <si>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</si>
  <si>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</si>
  <si>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</si>
  <si>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</si>
  <si>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</si>
  <si>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</si>
  <si>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</si>
  <si>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</si>
  <si>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</si>
  <si>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</si>
  <si>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</si>
  <si>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</si>
  <si>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</si>
  <si>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</si>
  <si>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</si>
  <si>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</si>
  <si>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</si>
  <si>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</si>
  <si>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</si>
  <si>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</si>
  <si>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</si>
  <si>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</si>
  <si>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</si>
  <si>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</si>
  <si>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</si>
  <si>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</si>
  <si>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</si>
  <si>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</si>
  <si>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</si>
  <si>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</si>
  <si>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</si>
  <si>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</si>
  <si>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</si>
  <si>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</si>
  <si>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</si>
  <si>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</si>
  <si>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</si>
  <si>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</si>
  <si>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</si>
  <si>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</si>
  <si>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</si>
  <si>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</si>
  <si>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</si>
  <si>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</si>
  <si>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</si>
  <si>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</si>
  <si>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</si>
  <si>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</si>
  <si>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</si>
  <si>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</si>
  <si>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</si>
  <si>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</si>
  <si>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</si>
  <si>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</si>
  <si>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</si>
  <si>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</si>
  <si>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</si>
  <si>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</si>
  <si>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</si>
  <si>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</si>
  <si>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</si>
  <si>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</si>
  <si>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</si>
  <si>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</si>
  <si>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</si>
  <si>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</si>
  <si>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</si>
  <si>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</si>
  <si>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</si>
  <si>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</si>
  <si>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</si>
  <si>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</si>
  <si>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</si>
  <si>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</si>
  <si>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</si>
  <si>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</si>
  <si>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</si>
  <si>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</si>
  <si>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</si>
  <si>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</si>
  <si>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</si>
  <si>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</si>
  <si>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</si>
  <si>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</si>
  <si>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</si>
  <si>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</si>
  <si>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</si>
  <si>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</si>
  <si>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</si>
  <si>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</si>
  <si>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</si>
  <si>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</si>
  <si>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</si>
  <si>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</si>
  <si>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</si>
  <si>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</si>
  <si>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</si>
  <si>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</si>
  <si>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</si>
  <si>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</si>
  <si>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</si>
  <si>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</si>
  <si>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</si>
  <si>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</si>
  <si>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</si>
  <si>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</si>
  <si>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</si>
  <si>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</si>
  <si>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</si>
  <si>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</si>
  <si>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</si>
  <si>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</si>
  <si>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</si>
  <si>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</si>
  <si>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</si>
  <si>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</si>
  <si>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</si>
  <si>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</si>
  <si>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</si>
  <si>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</si>
  <si>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</si>
  <si>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</si>
  <si>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</si>
  <si>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</si>
  <si>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</si>
  <si>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</si>
  <si>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</si>
  <si>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</si>
  <si>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</si>
  <si>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</si>
  <si>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</si>
  <si>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</si>
  <si>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</si>
  <si>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</si>
  <si>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</si>
  <si>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</si>
  <si>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</si>
  <si>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</si>
  <si>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</si>
  <si>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</si>
  <si>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</si>
  <si>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</si>
  <si>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</si>
  <si>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</si>
  <si>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</si>
  <si>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</si>
  <si>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</si>
  <si>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</si>
  <si>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</si>
  <si>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</si>
  <si>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</si>
  <si>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</si>
  <si>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</si>
  <si>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</si>
  <si>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</si>
  <si>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</si>
  <si>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</si>
  <si>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</si>
  <si>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</si>
  <si>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</si>
  <si>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</si>
  <si>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</si>
  <si>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</si>
  <si>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</si>
  <si>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</si>
  <si>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</si>
  <si>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</si>
  <si>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</si>
  <si>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</si>
  <si>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</si>
  <si>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</si>
  <si>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</si>
  <si>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</si>
  <si>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</si>
  <si>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</si>
  <si>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</si>
  <si>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</si>
  <si>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</si>
  <si>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</si>
  <si>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</si>
  <si>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</si>
  <si>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</si>
  <si>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</si>
  <si>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</si>
  <si>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</si>
  <si>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</si>
  <si>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</si>
  <si>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</si>
  <si>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</si>
  <si>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</si>
  <si>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</si>
  <si>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</si>
  <si>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</si>
  <si>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</si>
  <si>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</si>
  <si>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</si>
  <si>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</si>
  <si>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</si>
  <si>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</si>
  <si>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</si>
  <si>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</si>
  <si>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</si>
  <si>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</si>
  <si>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</si>
  <si>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</si>
  <si>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</si>
  <si>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</si>
  <si>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</si>
  <si>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</si>
  <si>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</si>
  <si>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</si>
  <si>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</si>
  <si>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</si>
  <si>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</si>
  <si>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</si>
  <si>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</si>
  <si>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</si>
  <si>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</si>
  <si>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</si>
  <si>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</si>
  <si>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</si>
  <si>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</si>
  <si>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</si>
  <si>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</si>
  <si>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</si>
  <si>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</si>
  <si>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</si>
  <si>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</si>
  <si>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</si>
  <si>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</si>
  <si>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</si>
  <si>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</si>
  <si>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</si>
  <si>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</si>
  <si>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</si>
  <si>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</si>
  <si>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</si>
  <si>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</si>
  <si>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</si>
  <si>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</si>
  <si>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</si>
  <si>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</si>
  <si>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</si>
  <si>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</si>
  <si>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</si>
  <si>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</si>
  <si>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</si>
  <si>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</si>
  <si>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</si>
  <si>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</si>
  <si>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</si>
  <si>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</si>
  <si>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</si>
  <si>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</si>
  <si>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</si>
  <si>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</si>
  <si>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</si>
  <si>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</si>
  <si>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</si>
  <si>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</si>
  <si>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</si>
  <si>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</si>
  <si>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</si>
  <si>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</si>
  <si>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</si>
  <si>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</si>
  <si>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</si>
  <si>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</si>
  <si>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</si>
  <si>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</si>
  <si>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</si>
  <si>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</si>
  <si>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</si>
  <si>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</si>
  <si>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</si>
  <si>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</si>
  <si>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</si>
  <si>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</si>
  <si>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</si>
  <si>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</si>
  <si>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</si>
  <si>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</si>
  <si>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</si>
  <si>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</si>
  <si>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</si>
  <si>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</si>
  <si>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</si>
  <si>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</si>
  <si>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</si>
  <si>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</si>
  <si>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</si>
  <si>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</si>
  <si>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</si>
  <si>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</si>
  <si>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</si>
  <si>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</si>
  <si>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</si>
  <si>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</si>
  <si>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</si>
  <si>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</si>
  <si>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</si>
  <si>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</si>
  <si>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</si>
  <si>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</si>
  <si>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</si>
  <si>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</si>
  <si>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</si>
  <si>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</si>
  <si>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</si>
  <si>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</si>
  <si>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</si>
  <si>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</si>
  <si>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</si>
  <si>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</si>
  <si>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</si>
  <si>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</si>
  <si>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</si>
  <si>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</si>
  <si>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</si>
  <si>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</si>
  <si>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</si>
  <si>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</si>
  <si>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</si>
  <si>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</si>
  <si>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</si>
  <si>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</si>
  <si>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</si>
  <si>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</si>
  <si>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</si>
  <si>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</si>
  <si>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</si>
  <si>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</si>
  <si>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</si>
  <si>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</si>
  <si>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</si>
  <si>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</si>
  <si>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</si>
  <si>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</si>
  <si>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</si>
  <si>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</si>
  <si>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</si>
  <si>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</si>
  <si>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</si>
  <si>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</si>
  <si>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</si>
  <si>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</si>
  <si>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</si>
  <si>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</si>
  <si>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</si>
  <si>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</si>
  <si>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</si>
  <si>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</si>
  <si>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</si>
  <si>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</si>
  <si>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</si>
  <si>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</si>
  <si>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</si>
  <si>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 xml:space="preserve"> pune</t>
  </si>
  <si>
    <t>Full_Name</t>
  </si>
  <si>
    <t>Last_Name</t>
  </si>
  <si>
    <t>First_Name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</si>
  <si>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</si>
  <si>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</si>
  <si>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</si>
  <si>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</si>
  <si>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</si>
  <si>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</si>
  <si>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</si>
  <si>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</si>
  <si>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Sanju Samson</t>
  </si>
  <si>
    <t>Shreyas Iyer</t>
  </si>
  <si>
    <t>Abhishek Sharma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</si>
  <si>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</si>
  <si>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</si>
  <si>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</si>
  <si>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</si>
  <si>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</si>
  <si>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</si>
  <si>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</si>
  <si>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</si>
  <si>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</si>
  <si>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</si>
  <si>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</si>
  <si>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</si>
  <si>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</si>
  <si>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</si>
  <si>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</si>
  <si>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</si>
  <si>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</si>
  <si>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</si>
  <si>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</si>
  <si>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 xml:space="preserve"> West</t>
  </si>
  <si>
    <t>Sales</t>
  </si>
  <si>
    <t>HR</t>
  </si>
  <si>
    <t>Finance</t>
  </si>
  <si>
    <t>IT</t>
  </si>
  <si>
    <t>Departments</t>
  </si>
  <si>
    <t>Names</t>
  </si>
  <si>
    <t>Raghav</t>
  </si>
  <si>
    <t>Rehan</t>
  </si>
  <si>
    <t>Aditya</t>
  </si>
  <si>
    <t>Ketan</t>
  </si>
  <si>
    <t>Karishma</t>
  </si>
  <si>
    <t>Ankit</t>
  </si>
  <si>
    <t>Neha</t>
  </si>
  <si>
    <t>Pooja</t>
  </si>
  <si>
    <t>Ramesh</t>
  </si>
  <si>
    <t>Sunil</t>
  </si>
  <si>
    <t>Employee Name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</si>
  <si>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</si>
  <si>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</si>
  <si>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</si>
  <si>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</si>
  <si>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</si>
  <si>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</si>
  <si>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</si>
  <si>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</si>
  <si>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</si>
  <si>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</si>
  <si>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</si>
  <si>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</si>
  <si>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</si>
  <si>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</si>
  <si>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</si>
  <si>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</si>
  <si>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</si>
  <si>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</si>
  <si>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</si>
  <si>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Kuhu</t>
  </si>
  <si>
    <t>City</t>
  </si>
  <si>
    <t>Marks</t>
  </si>
  <si>
    <t>Nagpur</t>
  </si>
  <si>
    <t>Wardha</t>
  </si>
  <si>
    <t>Status</t>
  </si>
  <si>
    <t xml:space="preserve"> </t>
  </si>
  <si>
    <t>Lina</t>
  </si>
  <si>
    <t>Jatin</t>
  </si>
  <si>
    <t>Atul</t>
  </si>
  <si>
    <t>Shravani</t>
  </si>
  <si>
    <t>Chaitu</t>
  </si>
  <si>
    <t>Chetna</t>
  </si>
  <si>
    <t>&gt;90</t>
  </si>
  <si>
    <t>A++</t>
  </si>
  <si>
    <t>&gt;75</t>
  </si>
  <si>
    <t>A+</t>
  </si>
  <si>
    <t>B</t>
  </si>
  <si>
    <t>&gt;60</t>
  </si>
  <si>
    <t>&gt;40</t>
  </si>
  <si>
    <t>A</t>
  </si>
  <si>
    <t>Else</t>
  </si>
  <si>
    <t>Fail</t>
  </si>
  <si>
    <t>Range</t>
  </si>
  <si>
    <t>Grades</t>
  </si>
  <si>
    <t>Bonus</t>
  </si>
  <si>
    <t>Bonus Amount</t>
  </si>
  <si>
    <t>Sales Range</t>
  </si>
  <si>
    <t>&lt;50000</t>
  </si>
  <si>
    <t>No Bonus</t>
  </si>
  <si>
    <t>Number-1</t>
  </si>
  <si>
    <t>Number-2</t>
  </si>
  <si>
    <t>Division</t>
  </si>
  <si>
    <t>sales_category</t>
  </si>
  <si>
    <t>Discount_Category</t>
  </si>
  <si>
    <t>Total Sales Above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</si>
  <si>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</si>
  <si>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</si>
  <si>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</si>
  <si>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</si>
  <si>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</si>
  <si>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</si>
  <si>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</si>
  <si>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</si>
  <si>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</si>
  <si>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</si>
  <si>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</si>
  <si>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</si>
  <si>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by Category:Clotthing &amp; Region:East</t>
  </si>
  <si>
    <t>Total sales by Category:Electronics, Region:North and Discount is 40%</t>
  </si>
  <si>
    <t>OrderID</t>
  </si>
  <si>
    <t>Total Orders</t>
  </si>
  <si>
    <t>Count transactions made by UPI</t>
  </si>
  <si>
    <t>Count transactions made by Card</t>
  </si>
  <si>
    <t>Count transactions made by Cash</t>
  </si>
  <si>
    <t>Number of transactions having sales value more than 4000 in East</t>
  </si>
  <si>
    <t>Number of transactions having sales value more than 4000 in West</t>
  </si>
  <si>
    <t>Number of transactions having sales value more than 4000 in North</t>
  </si>
  <si>
    <t>Number of transactions having sales value more than 4000 in South</t>
  </si>
  <si>
    <t>Number of transactions having sales value more than 4000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</si>
  <si>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</si>
  <si>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for North region</t>
  </si>
  <si>
    <t>Total sales for South region</t>
  </si>
  <si>
    <t>Total sales for East region</t>
  </si>
  <si>
    <t>Total sales for West region</t>
  </si>
  <si>
    <t>Numbers of Orders from North</t>
  </si>
  <si>
    <t>Numbers of Orders from South</t>
  </si>
  <si>
    <t>Numbers of Orders from East</t>
  </si>
  <si>
    <t>Numbers of Orders from West</t>
  </si>
  <si>
    <t>Total sales for year 2023</t>
  </si>
  <si>
    <t>Total sales for year 2024</t>
  </si>
  <si>
    <t>Last 6 months sales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</si>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</sst>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4.9989318521683403E-2"/>
      <name val="Aptos Narrow"/>
      <family val="2"/>
      <scheme val="minor"/>
    </font>
    <font>
      <b/>
      <sz val="11"/>
      <color theme="3" tint="4.9989318521683403E-2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2.3"/>
      <color rgb="FF333333"/>
      <name val="Segoe UI"/>
      <family val="2"/>
    </font>
    <font>
      <sz val="12"/>
      <color rgb="FF212529"/>
      <name val="Segoe U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rial Black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1" tint="0.499984740745262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0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98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0" borderId="0" xfId="1"/>
    <xf numFmtId="0" fontId="11" fillId="0" borderId="9" xfId="0" applyFont="1" applyBorder="1"/>
    <xf numFmtId="0" fontId="4" fillId="0" borderId="9" xfId="0" applyFont="1" applyBorder="1"/>
    <xf numFmtId="0" fontId="0" fillId="0" borderId="9" xfId="0" applyBorder="1"/>
    <xf numFmtId="0" fontId="13" fillId="0" borderId="9" xfId="0" applyFont="1" applyBorder="1"/>
    <xf numFmtId="0" fontId="15" fillId="5" borderId="9" xfId="3" applyFont="1" applyBorder="1"/>
    <xf numFmtId="0" fontId="15" fillId="6" borderId="9" xfId="4" applyFont="1" applyBorder="1"/>
    <xf numFmtId="0" fontId="15" fillId="5" borderId="10" xfId="3" applyFont="1" applyBorder="1"/>
    <xf numFmtId="0" fontId="15" fillId="6" borderId="10" xfId="4" applyFont="1" applyBorder="1"/>
    <xf numFmtId="0" fontId="0" fillId="0" borderId="10" xfId="0" applyBorder="1"/>
    <xf numFmtId="0" fontId="3" fillId="0" borderId="9" xfId="0" applyFont="1" applyBorder="1"/>
    <xf numFmtId="0" fontId="11" fillId="7" borderId="9" xfId="0" applyFont="1" applyFill="1" applyBorder="1" applyAlignment="1">
      <alignment horizontal="center"/>
    </xf>
    <xf numFmtId="0" fontId="3" fillId="0" borderId="10" xfId="0" applyFont="1" applyBorder="1"/>
    <xf numFmtId="0" fontId="16" fillId="0" borderId="0" xfId="0" applyFont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0" fillId="0" borderId="11" xfId="0" applyBorder="1"/>
    <xf numFmtId="0" fontId="11" fillId="11" borderId="11" xfId="0" applyFont="1" applyFill="1" applyBorder="1" applyAlignment="1">
      <alignment horizontal="center"/>
    </xf>
    <xf numFmtId="0" fontId="4" fillId="0" borderId="11" xfId="0" applyFont="1" applyBorder="1"/>
    <xf numFmtId="9" fontId="0" fillId="0" borderId="11" xfId="0" applyNumberFormat="1" applyBorder="1"/>
    <xf numFmtId="9" fontId="2" fillId="0" borderId="11" xfId="0" applyNumberFormat="1" applyFont="1" applyBorder="1"/>
    <xf numFmtId="0" fontId="2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8" borderId="11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3" fillId="0" borderId="11" xfId="0" applyFont="1" applyBorder="1"/>
    <xf numFmtId="0" fontId="11" fillId="9" borderId="11" xfId="0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8" borderId="20" xfId="2" applyFont="1" applyFill="1" applyBorder="1" applyAlignment="1">
      <alignment horizontal="center"/>
    </xf>
    <xf numFmtId="0" fontId="16" fillId="8" borderId="20" xfId="2" applyFont="1" applyFill="1" applyBorder="1" applyAlignment="1">
      <alignment horizontal="center" vertical="top"/>
    </xf>
    <xf numFmtId="0" fontId="16" fillId="8" borderId="20" xfId="0" applyFont="1" applyFill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4" fillId="0" borderId="21" xfId="0" applyFont="1" applyBorder="1"/>
    <xf numFmtId="0" fontId="4" fillId="0" borderId="22" xfId="0" applyFont="1" applyBorder="1"/>
    <xf numFmtId="0" fontId="16" fillId="13" borderId="12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9" fillId="0" borderId="0" xfId="0" applyFont="1"/>
    <xf numFmtId="0" fontId="18" fillId="2" borderId="0" xfId="0" applyFont="1" applyFill="1" applyAlignment="1">
      <alignment horizontal="center"/>
    </xf>
    <xf numFmtId="0" fontId="4" fillId="0" borderId="0" xfId="0" applyFont="1"/>
    <xf numFmtId="9" fontId="2" fillId="0" borderId="0" xfId="0" applyNumberFormat="1" applyFont="1"/>
    <xf numFmtId="0" fontId="1" fillId="14" borderId="9" xfId="0" applyFont="1" applyFill="1" applyBorder="1"/>
    <xf numFmtId="0" fontId="0" fillId="14" borderId="9" xfId="0" applyFill="1" applyBorder="1"/>
    <xf numFmtId="0" fontId="20" fillId="15" borderId="9" xfId="0" applyFont="1" applyFill="1" applyBorder="1" applyAlignment="1">
      <alignment horizontal="left" vertical="center" wrapText="1"/>
    </xf>
    <xf numFmtId="0" fontId="21" fillId="16" borderId="9" xfId="0" applyFont="1" applyFill="1" applyBorder="1" applyAlignment="1">
      <alignment vertical="top" wrapText="1" indent="1"/>
    </xf>
    <xf numFmtId="3" fontId="21" fillId="16" borderId="9" xfId="0" applyNumberFormat="1" applyFont="1" applyFill="1" applyBorder="1" applyAlignment="1">
      <alignment vertical="top" wrapText="1" indent="1"/>
    </xf>
    <xf numFmtId="0" fontId="16" fillId="0" borderId="23" xfId="0" applyFont="1" applyBorder="1" applyAlignment="1">
      <alignment horizontal="center"/>
    </xf>
    <xf numFmtId="0" fontId="16" fillId="12" borderId="24" xfId="0" applyFont="1" applyFill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3" xfId="0" applyBorder="1"/>
    <xf numFmtId="0" fontId="0" fillId="0" borderId="31" xfId="0" applyBorder="1"/>
    <xf numFmtId="0" fontId="0" fillId="0" borderId="25" xfId="0" applyBorder="1"/>
    <xf numFmtId="0" fontId="5" fillId="0" borderId="9" xfId="0" applyFont="1" applyBorder="1"/>
    <xf numFmtId="165" fontId="5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165" fontId="0" fillId="0" borderId="9" xfId="0" applyNumberFormat="1" applyBorder="1"/>
    <xf numFmtId="0" fontId="22" fillId="0" borderId="9" xfId="0" applyFont="1" applyBorder="1"/>
    <xf numFmtId="0" fontId="22" fillId="0" borderId="32" xfId="0" applyFont="1" applyBorder="1"/>
    <xf numFmtId="0" fontId="5" fillId="0" borderId="0" xfId="0" applyFont="1" applyFill="1" applyBorder="1"/>
    <xf numFmtId="0" fontId="5" fillId="0" borderId="9" xfId="0" applyFont="1" applyFill="1" applyBorder="1"/>
    <xf numFmtId="0" fontId="4" fillId="0" borderId="10" xfId="0" applyFont="1" applyBorder="1"/>
    <xf numFmtId="0" fontId="11" fillId="0" borderId="0" xfId="0" applyFont="1" applyBorder="1"/>
    <xf numFmtId="0" fontId="0" fillId="0" borderId="0" xfId="0" applyBorder="1"/>
    <xf numFmtId="0" fontId="24" fillId="17" borderId="0" xfId="0" applyFont="1" applyFill="1" applyBorder="1"/>
  </cellXfs>
  <cellStyles count="5">
    <cellStyle name="40% - Accent3" xfId="3" builtinId="39"/>
    <cellStyle name="40% - Accent4" xfId="4" builtinId="43"/>
    <cellStyle name="Accent2" xfId="2" builtinId="33"/>
    <cellStyle name="Hyperlink" xfId="1" builtinId="8"/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ill>
        <patternFill>
          <bgColor theme="7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6CCFF"/>
      <color rgb="FFCC0000"/>
      <color rgb="FFE97132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4E712-6166-417E-A4C4-71E275963E79}" name="DMart_Sales_Data" displayName="DMart_Sales_Data" ref="A1:P499" totalsRowShown="0" headerRowDxfId="22" dataDxfId="21" tableBorderDxfId="20">
  <autoFilter ref="A1:P499" xr:uid="{12B4E712-6166-417E-A4C4-71E275963E79}"/>
  <tableColumns count="16">
    <tableColumn id="1" xr3:uid="{6FDE5507-1758-4ACD-8C2A-3E90FFB7A8AC}" name="OrderID" dataDxfId="19"/>
    <tableColumn id="2" xr3:uid="{B62D9EBF-FC74-412D-A2B2-9BC1A6BD8652}" name="Region" dataDxfId="18"/>
    <tableColumn id="15" xr3:uid="{BA479B94-11E2-4C56-9362-5E6D6A94A2BE}" name="Updated_Region" dataDxfId="17"/>
    <tableColumn id="3" xr3:uid="{97F3D166-51FD-4005-A6FF-AD71FF8C132F}" name="Category" dataDxfId="16"/>
    <tableColumn id="4" xr3:uid="{2DC6A767-991E-4963-9417-BEE8986A94B5}" name="sales" dataDxfId="15"/>
    <tableColumn id="17" xr3:uid="{214A6AA5-51AA-4EB1-884A-6A97B52EAC9F}" name="sales_category" dataDxfId="14">
      <calculatedColumnFormula>IF(DMart_Sales_Data[[#This Row],[sales]]&gt;=3000,"High Sales",IF(DMart_Sales_Data[[#This Row],[sales]]&gt;=1000,"Medium Sales",IF(DMart_Sales_Data[[#This Row],[sales]]&lt;1000,"Low Sales")))</calculatedColumnFormula>
    </tableColumn>
    <tableColumn id="5" xr3:uid="{10FDE36B-DDD7-41F0-8EAD-7AECA042684D}" name="discount" dataDxfId="13"/>
    <tableColumn id="6" xr3:uid="{DA96E99B-4CE1-4AB6-93CE-7E7CF61C48C7}" name="quantity" dataDxfId="12"/>
    <tableColumn id="7" xr3:uid="{146049B8-BFB7-49B9-A737-71F326D18846}" name="order_date" dataDxfId="11"/>
    <tableColumn id="8" xr3:uid="{0E053094-BDF7-46C4-A288-3C99544DD83E}" name="delivery_date" dataDxfId="10"/>
    <tableColumn id="9" xr3:uid="{6FC498D5-CEE9-4FEB-8DE4-1052610E39FE}" name="customer_type" dataDxfId="9"/>
    <tableColumn id="11" xr3:uid="{EED7B012-2539-4625-8B42-E92938A54C4B}" name="payment_mode" dataDxfId="8"/>
    <tableColumn id="12" xr3:uid="{A0505E37-02AB-4203-8498-03DF2CC002E9}" name="profit" dataDxfId="7"/>
    <tableColumn id="14" xr3:uid="{AB78ECD4-DFCB-48A9-8280-90C6AD048B02}" name="Updated_City" dataDxfId="6">
      <calculatedColumnFormula>PROPER(DMart_Sales_Data[[#This Row],[city]])</calculatedColumnFormula>
    </tableColumn>
    <tableColumn id="13" xr3:uid="{4EFBB75B-C036-46FF-8670-FB70D8CA9E19}" name="city" dataDxfId="5"/>
    <tableColumn id="18" xr3:uid="{D4BED54A-51B5-43D9-AF15-96236A8F42C1}" name="Discount_Category" dataDxfId="4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N40" zoomScale="98" zoomScaleNormal="382" workbookViewId="0">
      <selection activeCell="S48" sqref="S48"/>
    </sheetView>
  </sheetViews>
  <sheetFormatPr defaultColWidth="12.5703125" defaultRowHeight="15" customHeight="1" x14ac:dyDescent="0.25"/>
  <cols>
    <col min="1" max="1" width="14.140625" bestFit="1" customWidth="1"/>
    <col min="2" max="2" width="12.28515625" bestFit="1" customWidth="1"/>
    <col min="3" max="3" width="20.42578125" customWidth="1"/>
    <col min="4" max="4" width="14.140625" bestFit="1" customWidth="1"/>
    <col min="5" max="5" width="13.42578125" customWidth="1"/>
    <col min="6" max="6" width="19.5703125" bestFit="1" customWidth="1"/>
    <col min="7" max="7" width="13.42578125" bestFit="1" customWidth="1"/>
    <col min="8" max="8" width="13.14062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8.85546875" bestFit="1" customWidth="1"/>
    <col min="13" max="13" width="10.85546875" bestFit="1" customWidth="1"/>
    <col min="14" max="14" width="17.140625" bestFit="1" customWidth="1"/>
    <col min="15" max="15" width="16.28515625" customWidth="1"/>
    <col min="16" max="16" width="20.28515625" bestFit="1" customWidth="1"/>
    <col min="17" max="17" width="8.5703125" customWidth="1"/>
    <col min="18" max="18" width="63.85546875" bestFit="1" customWidth="1"/>
    <col min="19" max="19" width="13.140625" bestFit="1" customWidth="1"/>
    <col min="20" max="25" width="8.5703125" customWidth="1"/>
  </cols>
  <sheetData>
    <row r="1" spans="1:27" ht="14.25" customHeight="1" x14ac:dyDescent="0.25">
      <c r="A1" s="20" t="s">
        <v>663</v>
      </c>
      <c r="B1" s="21" t="s">
        <v>0</v>
      </c>
      <c r="C1" s="21" t="s">
        <v>574</v>
      </c>
      <c r="D1" s="21" t="s">
        <v>1</v>
      </c>
      <c r="E1" s="21" t="s">
        <v>2</v>
      </c>
      <c r="F1" s="65" t="s">
        <v>646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541</v>
      </c>
      <c r="O1" s="23" t="s">
        <v>10</v>
      </c>
      <c r="P1" s="67" t="s">
        <v>647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2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Row],[sales]]&gt;=3000,"High Sales",IF(DMart_Sales_Data[[#This Row],[sales]]&gt;=1000,"Medium Sales",IF(DMart_Sales_Data[[#This Row],[sales]]&lt;1000,"Low Sales")))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tr">
        <f>PROPER(DMart_Sales_Data[[#This Row],[city]])</f>
        <v>Bangalore</v>
      </c>
      <c r="O2" s="7" t="s">
        <v>16</v>
      </c>
      <c r="P2" s="66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8" t="s">
        <v>17</v>
      </c>
      <c r="B3" s="9" t="s">
        <v>576</v>
      </c>
      <c r="C3" s="4" t="s">
        <v>575</v>
      </c>
      <c r="D3" s="10" t="s">
        <v>18</v>
      </c>
      <c r="E3" s="10">
        <v>3802.97</v>
      </c>
      <c r="F3" s="10" t="str">
        <f>IF(DMart_Sales_Data[[#This Row],[sales]]&gt;=3000,"High Sales",IF(DMart_Sales_Data[[#This Row],[sales]]&gt;=1000,"Medium Sales",IF(DMart_Sales_Data[[#This Row],[sales]]&lt;1000,"Low Sales")))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5" t="str">
        <f>PROPER(DMart_Sales_Data[[#This Row],[city]])</f>
        <v>Mumbai</v>
      </c>
      <c r="O3" s="12" t="s">
        <v>21</v>
      </c>
      <c r="P3" s="66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15" t="str">
        <f>IF(DMart_Sales_Data[[#This Row],[sales]]&gt;=3000,"High Sales",IF(DMart_Sales_Data[[#This Row],[sales]]&gt;=1000,"Medium Sales",IF(DMart_Sales_Data[[#This Row],[sales]]&lt;1000,"Low Sales")))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5" t="str">
        <f>PROPER(DMart_Sales_Data[[#This Row],[city]])</f>
        <v>Pune</v>
      </c>
      <c r="O4" s="17" t="s">
        <v>26</v>
      </c>
      <c r="P4" s="66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25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10" t="str">
        <f>IF(DMart_Sales_Data[[#This Row],[sales]]&gt;=3000,"High Sales",IF(DMart_Sales_Data[[#This Row],[sales]]&gt;=1000,"Medium Sales",IF(DMart_Sales_Data[[#This Row],[sales]]&lt;1000,"Low Sales")))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5" t="str">
        <f>PROPER(DMart_Sales_Data[[#This Row],[city]])</f>
        <v>Hyderabad</v>
      </c>
      <c r="O5" s="18" t="s">
        <v>29</v>
      </c>
      <c r="P5" s="66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25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15" t="str">
        <f>IF(DMart_Sales_Data[[#This Row],[sales]]&gt;=3000,"High Sales",IF(DMart_Sales_Data[[#This Row],[sales]]&gt;=1000,"Medium Sales",IF(DMart_Sales_Data[[#This Row],[sales]]&lt;1000,"Low Sales")))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5" t="str">
        <f>PROPER(DMart_Sales_Data[[#This Row],[city]])</f>
        <v>Bangalore</v>
      </c>
      <c r="O6" s="17" t="s">
        <v>16</v>
      </c>
      <c r="P6" s="66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25">
      <c r="A7" s="8" t="s">
        <v>32</v>
      </c>
      <c r="B7" s="9" t="s">
        <v>575</v>
      </c>
      <c r="C7" s="4" t="s">
        <v>575</v>
      </c>
      <c r="D7" s="10" t="s">
        <v>33</v>
      </c>
      <c r="E7" s="10">
        <v>2566.1799999999998</v>
      </c>
      <c r="F7" s="10" t="str">
        <f>IF(DMart_Sales_Data[[#This Row],[sales]]&gt;=3000,"High Sales",IF(DMart_Sales_Data[[#This Row],[sales]]&gt;=1000,"Medium Sales",IF(DMart_Sales_Data[[#This Row],[sales]]&lt;1000,"Low Sales")))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5" t="str">
        <f>PROPER(DMart_Sales_Data[[#This Row],[city]])</f>
        <v>Hyderabad</v>
      </c>
      <c r="O7" s="12" t="s">
        <v>34</v>
      </c>
      <c r="P7" s="66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25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15" t="str">
        <f>IF(DMart_Sales_Data[[#This Row],[sales]]&gt;=3000,"High Sales",IF(DMart_Sales_Data[[#This Row],[sales]]&gt;=1000,"Medium Sales",IF(DMart_Sales_Data[[#This Row],[sales]]&lt;1000,"Low Sales")))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5" t="str">
        <f>PROPER(DMart_Sales_Data[[#This Row],[city]])</f>
        <v>Bangalore</v>
      </c>
      <c r="O8" s="17" t="s">
        <v>16</v>
      </c>
      <c r="P8" s="66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86" t="s">
        <v>649</v>
      </c>
      <c r="S8" s="87">
        <f>SUMIF(L3:L498,"=UPI",E:E)</f>
        <v>386221.98999999982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25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10" t="str">
        <f>IF(DMart_Sales_Data[[#This Row],[sales]]&gt;=3000,"High Sales",IF(DMart_Sales_Data[[#This Row],[sales]]&gt;=1000,"Medium Sales",IF(DMart_Sales_Data[[#This Row],[sales]]&lt;1000,"Low Sales")))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5" t="str">
        <f>PROPER(DMart_Sales_Data[[#This Row],[city]])</f>
        <v>Pune</v>
      </c>
      <c r="O9" s="12" t="s">
        <v>38</v>
      </c>
      <c r="P9" s="66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86"/>
      <c r="S9" s="87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25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15" t="str">
        <f>IF(DMart_Sales_Data[[#This Row],[sales]]&gt;=3000,"High Sales",IF(DMart_Sales_Data[[#This Row],[sales]]&gt;=1000,"Medium Sales",IF(DMart_Sales_Data[[#This Row],[sales]]&lt;1000,"Low Sales")))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5" t="str">
        <f>PROPER(DMart_Sales_Data[[#This Row],[city]])</f>
        <v>Chennai</v>
      </c>
      <c r="O10" s="17" t="s">
        <v>40</v>
      </c>
      <c r="P10" s="66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86" t="s">
        <v>650</v>
      </c>
      <c r="S10" s="87">
        <f>SUMIF(L1:L496,"=Card",E:E)</f>
        <v>413292.63999999996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25">
      <c r="A11" s="8" t="s">
        <v>41</v>
      </c>
      <c r="B11" s="9" t="s">
        <v>575</v>
      </c>
      <c r="C11" s="4" t="s">
        <v>575</v>
      </c>
      <c r="D11" s="10" t="s">
        <v>33</v>
      </c>
      <c r="E11" s="10">
        <v>587.72</v>
      </c>
      <c r="F11" s="10" t="str">
        <f>IF(DMart_Sales_Data[[#This Row],[sales]]&gt;=3000,"High Sales",IF(DMart_Sales_Data[[#This Row],[sales]]&gt;=1000,"Medium Sales",IF(DMart_Sales_Data[[#This Row],[sales]]&lt;1000,"Low Sales")))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5" t="str">
        <f>PROPER(DMart_Sales_Data[[#This Row],[city]])</f>
        <v>Mumbai</v>
      </c>
      <c r="O11" s="12" t="s">
        <v>21</v>
      </c>
      <c r="P11" s="66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86"/>
      <c r="S11" s="87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25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15" t="str">
        <f>IF(DMart_Sales_Data[[#This Row],[sales]]&gt;=3000,"High Sales",IF(DMart_Sales_Data[[#This Row],[sales]]&gt;=1000,"Medium Sales",IF(DMart_Sales_Data[[#This Row],[sales]]&lt;1000,"Low Sales")))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5" t="str">
        <f>PROPER(DMart_Sales_Data[[#This Row],[city]])</f>
        <v>Chennai</v>
      </c>
      <c r="O12" s="17" t="s">
        <v>43</v>
      </c>
      <c r="P12" s="66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86" t="s">
        <v>651</v>
      </c>
      <c r="S12" s="87">
        <f>SUMIF(L1:L496,"=Cash",E:E)</f>
        <v>522964.3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25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10" t="str">
        <f>IF(DMart_Sales_Data[[#This Row],[sales]]&gt;=3000,"High Sales",IF(DMart_Sales_Data[[#This Row],[sales]]&gt;=1000,"Medium Sales",IF(DMart_Sales_Data[[#This Row],[sales]]&lt;1000,"Low Sales")))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5" t="str">
        <f>PROPER(DMart_Sales_Data[[#This Row],[city]])</f>
        <v>Chennai</v>
      </c>
      <c r="O13" s="12" t="s">
        <v>40</v>
      </c>
      <c r="P13" s="66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86"/>
      <c r="S13" s="87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25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5" t="str">
        <f>PROPER(DMart_Sales_Data[[#This Row],[city]])</f>
        <v>Hyderabad</v>
      </c>
      <c r="O14" s="17" t="s">
        <v>29</v>
      </c>
      <c r="P14" s="66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86" t="s">
        <v>661</v>
      </c>
      <c r="S14" s="88">
        <f>SUMIFS(DMart_Sales_Data[sales],DMart_Sales_Data[Updated_Region],"East",DMart_Sales_Data[Category],"Clothing")</f>
        <v>60655.859999999993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25">
      <c r="A15" s="8" t="s">
        <v>46</v>
      </c>
      <c r="B15" s="9" t="s">
        <v>575</v>
      </c>
      <c r="C15" s="4" t="s">
        <v>575</v>
      </c>
      <c r="D15" s="10" t="s">
        <v>13</v>
      </c>
      <c r="E15" s="10">
        <v>1377.47</v>
      </c>
      <c r="F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5" t="str">
        <f>PROPER(DMart_Sales_Data[[#This Row],[city]])</f>
        <v>Pune</v>
      </c>
      <c r="O15" s="12" t="s">
        <v>47</v>
      </c>
      <c r="P15" s="66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7"/>
      <c r="S15" s="8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25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15" t="str">
        <f>IF(DMart_Sales_Data[[#This Row],[sales]]&gt;=3000,"High Sales",IF(DMart_Sales_Data[[#This Row],[sales]]&gt;=1000,"Medium Sales",IF(DMart_Sales_Data[[#This Row],[sales]]&lt;1000,"Low Sales")))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5" t="s">
        <v>26</v>
      </c>
      <c r="O16" s="17" t="s">
        <v>542</v>
      </c>
      <c r="P16" s="66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86" t="s">
        <v>662</v>
      </c>
      <c r="S16" s="88">
        <f>SUMIFS(DMart_Sales_Data[sales],DMart_Sales_Data[Updated_Region],"North",DMart_Sales_Data[Category],"Electronics",DMart_Sales_Data[discount],"&gt;0.40")</f>
        <v>36091.269999999997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25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5" t="str">
        <f>PROPER(DMart_Sales_Data[[#This Row],[city]])</f>
        <v>Chennai</v>
      </c>
      <c r="O17" s="12" t="s">
        <v>40</v>
      </c>
      <c r="P17" s="66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25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15" t="str">
        <f>IF(DMart_Sales_Data[[#This Row],[sales]]&gt;=3000,"High Sales",IF(DMart_Sales_Data[[#This Row],[sales]]&gt;=1000,"Medium Sales",IF(DMart_Sales_Data[[#This Row],[sales]]&lt;1000,"Low Sales")))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5" t="str">
        <f>PROPER(DMart_Sales_Data[[#This Row],[city]])</f>
        <v>Bangalore</v>
      </c>
      <c r="O18" s="17" t="s">
        <v>51</v>
      </c>
      <c r="P18" s="66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25">
      <c r="A19" s="8" t="s">
        <v>52</v>
      </c>
      <c r="B19" s="9" t="s">
        <v>575</v>
      </c>
      <c r="C19" s="4" t="s">
        <v>575</v>
      </c>
      <c r="D19" s="10" t="s">
        <v>13</v>
      </c>
      <c r="E19" s="10">
        <v>3727.53</v>
      </c>
      <c r="F19" s="10" t="str">
        <f>IF(DMart_Sales_Data[[#This Row],[sales]]&gt;=3000,"High Sales",IF(DMart_Sales_Data[[#This Row],[sales]]&gt;=1000,"Medium Sales",IF(DMart_Sales_Data[[#This Row],[sales]]&lt;1000,"Low Sales")))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5" t="str">
        <f>PROPER(DMart_Sales_Data[[#This Row],[city]])</f>
        <v>Chennai</v>
      </c>
      <c r="O19" s="12" t="s">
        <v>43</v>
      </c>
      <c r="P19" s="66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86" t="s">
        <v>664</v>
      </c>
      <c r="S19" s="86">
        <f>COUNT(Sales)</f>
        <v>498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25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15" t="str">
        <f>IF(DMart_Sales_Data[[#This Row],[sales]]&gt;=3000,"High Sales",IF(DMart_Sales_Data[[#This Row],[sales]]&gt;=1000,"Medium Sales",IF(DMart_Sales_Data[[#This Row],[sales]]&lt;1000,"Low Sales")))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5" t="str">
        <f>PROPER(DMart_Sales_Data[[#This Row],[city]])</f>
        <v>Mumbai</v>
      </c>
      <c r="O20" s="17" t="s">
        <v>54</v>
      </c>
      <c r="P20" s="66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86" t="s">
        <v>665</v>
      </c>
      <c r="S20" s="86">
        <f>COUNTIF(L:L,"UPI")</f>
        <v>149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25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10" t="str">
        <f>IF(DMart_Sales_Data[[#This Row],[sales]]&gt;=3000,"High Sales",IF(DMart_Sales_Data[[#This Row],[sales]]&gt;=1000,"Medium Sales",IF(DMart_Sales_Data[[#This Row],[sales]]&lt;1000,"Low Sales")))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5" t="str">
        <f>PROPER(DMart_Sales_Data[[#This Row],[city]])</f>
        <v>Pune</v>
      </c>
      <c r="O21" s="12" t="s">
        <v>38</v>
      </c>
      <c r="P21" s="66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86" t="s">
        <v>666</v>
      </c>
      <c r="S21" s="86">
        <f>COUNTIF(L:L,"Card")</f>
        <v>164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25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15" t="str">
        <f>IF(DMart_Sales_Data[[#This Row],[sales]]&gt;=3000,"High Sales",IF(DMart_Sales_Data[[#This Row],[sales]]&gt;=1000,"Medium Sales",IF(DMart_Sales_Data[[#This Row],[sales]]&lt;1000,"Low Sales")))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5" t="str">
        <f>PROPER(DMart_Sales_Data[[#This Row],[city]])</f>
        <v>Hyderabad</v>
      </c>
      <c r="O22" s="17" t="s">
        <v>57</v>
      </c>
      <c r="P22" s="66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86" t="s">
        <v>667</v>
      </c>
      <c r="S22" s="86">
        <f>COUNTIF(L:L,"Cash")</f>
        <v>185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25">
      <c r="A23" s="8" t="s">
        <v>58</v>
      </c>
      <c r="B23" s="9" t="s">
        <v>575</v>
      </c>
      <c r="C23" s="4" t="s">
        <v>575</v>
      </c>
      <c r="D23" s="10" t="s">
        <v>33</v>
      </c>
      <c r="E23" s="10">
        <v>3319.36</v>
      </c>
      <c r="F23" s="10" t="str">
        <f>IF(DMart_Sales_Data[[#This Row],[sales]]&gt;=3000,"High Sales",IF(DMart_Sales_Data[[#This Row],[sales]]&gt;=1000,"Medium Sales",IF(DMart_Sales_Data[[#This Row],[sales]]&lt;1000,"Low Sales")))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5" t="str">
        <f>PROPER(DMart_Sales_Data[[#This Row],[city]])</f>
        <v>Pune</v>
      </c>
      <c r="O23" s="12" t="s">
        <v>38</v>
      </c>
      <c r="P23" s="66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25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15" t="str">
        <f>IF(DMart_Sales_Data[[#This Row],[sales]]&gt;=3000,"High Sales",IF(DMart_Sales_Data[[#This Row],[sales]]&gt;=1000,"Medium Sales",IF(DMart_Sales_Data[[#This Row],[sales]]&lt;1000,"Low Sales")))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5" t="str">
        <f>PROPER(DMart_Sales_Data[[#This Row],[city]])</f>
        <v>Chennai</v>
      </c>
      <c r="O24" s="17" t="s">
        <v>40</v>
      </c>
      <c r="P24" s="66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86" t="s">
        <v>672</v>
      </c>
      <c r="S24" s="86">
        <f>COUNTIF(E:E,"&gt;4000")</f>
        <v>115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25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10" t="str">
        <f>IF(DMart_Sales_Data[[#This Row],[sales]]&gt;=3000,"High Sales",IF(DMart_Sales_Data[[#This Row],[sales]]&gt;=1000,"Medium Sales",IF(DMart_Sales_Data[[#This Row],[sales]]&lt;1000,"Low Sales")))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5" t="str">
        <f>PROPER(DMart_Sales_Data[[#This Row],[city]])</f>
        <v>Hyderabad</v>
      </c>
      <c r="O25" s="12" t="s">
        <v>34</v>
      </c>
      <c r="P25" s="66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86" t="s">
        <v>668</v>
      </c>
      <c r="S25" s="86">
        <f>COUNTIFS(E:E,"&gt;4000",C:C, "East")</f>
        <v>29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25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15" t="str">
        <f>IF(DMart_Sales_Data[[#This Row],[sales]]&gt;=3000,"High Sales",IF(DMart_Sales_Data[[#This Row],[sales]]&gt;=1000,"Medium Sales",IF(DMart_Sales_Data[[#This Row],[sales]]&lt;1000,"Low Sales")))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5" t="str">
        <f>PROPER(DMart_Sales_Data[[#This Row],[city]])</f>
        <v>Delhi</v>
      </c>
      <c r="O26" s="17" t="s">
        <v>62</v>
      </c>
      <c r="P26" s="66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86" t="s">
        <v>669</v>
      </c>
      <c r="S26" s="86">
        <f>COUNTIFS(E:E,"&gt;4000",C:C, "West")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25">
      <c r="A27" s="8" t="s">
        <v>63</v>
      </c>
      <c r="B27" s="9" t="s">
        <v>575</v>
      </c>
      <c r="C27" s="4" t="s">
        <v>575</v>
      </c>
      <c r="D27" s="10" t="s">
        <v>33</v>
      </c>
      <c r="E27" s="10">
        <v>3904.68</v>
      </c>
      <c r="F27" s="10" t="str">
        <f>IF(DMart_Sales_Data[[#This Row],[sales]]&gt;=3000,"High Sales",IF(DMart_Sales_Data[[#This Row],[sales]]&gt;=1000,"Medium Sales",IF(DMart_Sales_Data[[#This Row],[sales]]&lt;1000,"Low Sales")))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5" t="str">
        <f>PROPER(DMart_Sales_Data[[#This Row],[city]])</f>
        <v>Delhi</v>
      </c>
      <c r="O27" s="12" t="s">
        <v>64</v>
      </c>
      <c r="P27" s="66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86" t="s">
        <v>670</v>
      </c>
      <c r="S27" s="86">
        <f>COUNTIFS(E:E,"&gt;4000",C:C, "North")</f>
        <v>32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25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15" t="str">
        <f>IF(DMart_Sales_Data[[#This Row],[sales]]&gt;=3000,"High Sales",IF(DMart_Sales_Data[[#This Row],[sales]]&gt;=1000,"Medium Sales",IF(DMart_Sales_Data[[#This Row],[sales]]&lt;1000,"Low Sales")))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5" t="str">
        <f>PROPER(DMart_Sales_Data[[#This Row],[city]])</f>
        <v>Hyderabad</v>
      </c>
      <c r="O28" s="17" t="s">
        <v>57</v>
      </c>
      <c r="P28" s="66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86" t="s">
        <v>671</v>
      </c>
      <c r="S28" s="86">
        <f>COUNTIFS(E:E,"&gt;4000",C:C, "South")</f>
        <v>27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25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10" t="str">
        <f>IF(DMart_Sales_Data[[#This Row],[sales]]&gt;=3000,"High Sales",IF(DMart_Sales_Data[[#This Row],[sales]]&gt;=1000,"Medium Sales",IF(DMart_Sales_Data[[#This Row],[sales]]&lt;1000,"Low Sales")))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5" t="str">
        <f>PROPER(DMart_Sales_Data[[#This Row],[city]])</f>
        <v>Chennai</v>
      </c>
      <c r="O29" s="12" t="s">
        <v>67</v>
      </c>
      <c r="P29" s="66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91" t="s">
        <v>619</v>
      </c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25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15" t="str">
        <f>IF(DMart_Sales_Data[[#This Row],[sales]]&gt;=3000,"High Sales",IF(DMart_Sales_Data[[#This Row],[sales]]&gt;=1000,"Medium Sales",IF(DMart_Sales_Data[[#This Row],[sales]]&lt;1000,"Low Sales")))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5" t="str">
        <f>PROPER(DMart_Sales_Data[[#This Row],[city]])</f>
        <v>Chennai</v>
      </c>
      <c r="O30" s="17" t="s">
        <v>40</v>
      </c>
      <c r="P30" s="66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25">
      <c r="A31" s="8" t="s">
        <v>69</v>
      </c>
      <c r="B31" s="9" t="s">
        <v>575</v>
      </c>
      <c r="C31" s="4" t="s">
        <v>575</v>
      </c>
      <c r="D31" s="10" t="s">
        <v>13</v>
      </c>
      <c r="E31" s="10">
        <v>1658.02</v>
      </c>
      <c r="F31" s="10" t="str">
        <f>IF(DMart_Sales_Data[[#This Row],[sales]]&gt;=3000,"High Sales",IF(DMart_Sales_Data[[#This Row],[sales]]&gt;=1000,"Medium Sales",IF(DMart_Sales_Data[[#This Row],[sales]]&lt;1000,"Low Sales")))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5" t="str">
        <f>PROPER(DMart_Sales_Data[[#This Row],[city]])</f>
        <v>Hyderabad</v>
      </c>
      <c r="O31" s="12" t="s">
        <v>34</v>
      </c>
      <c r="P31" s="66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90" t="s">
        <v>673</v>
      </c>
      <c r="S31" s="86">
        <f>COUNTIFS(DMart_Sales_Data[customer_type],"=Member",DMart_Sales_Data[payment_mode],"=UPI")+COUNTIFS(DMart_Sales_Data[customer_type],"=Member",DMart_Sales_Data[payment_mode],"=Card")</f>
        <v>97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25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15" t="str">
        <f>IF(DMart_Sales_Data[[#This Row],[sales]]&gt;=3000,"High Sales",IF(DMart_Sales_Data[[#This Row],[sales]]&gt;=1000,"Medium Sales",IF(DMart_Sales_Data[[#This Row],[sales]]&lt;1000,"Low Sales")))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5" t="str">
        <f>PROPER(DMart_Sales_Data[[#This Row],[city]])</f>
        <v>Chennai</v>
      </c>
      <c r="O32" s="17" t="s">
        <v>67</v>
      </c>
      <c r="P32" s="66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25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10" t="str">
        <f>IF(DMart_Sales_Data[[#This Row],[sales]]&gt;=3000,"High Sales",IF(DMart_Sales_Data[[#This Row],[sales]]&gt;=1000,"Medium Sales",IF(DMart_Sales_Data[[#This Row],[sales]]&lt;1000,"Low Sales")))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5" t="str">
        <f>PROPER(DMart_Sales_Data[[#This Row],[city]])</f>
        <v>Bangalore</v>
      </c>
      <c r="O33" s="12" t="s">
        <v>16</v>
      </c>
      <c r="P33" s="66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93" t="s">
        <v>674</v>
      </c>
      <c r="S33" s="86">
        <f>SUMIF(C:C,"North",E:E)</f>
        <v>334964.16000000003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25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5" t="str">
        <f>PROPER(DMart_Sales_Data[[#This Row],[city]])</f>
        <v>Mumbai</v>
      </c>
      <c r="O34" s="17" t="s">
        <v>54</v>
      </c>
      <c r="P34" s="66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93" t="s">
        <v>675</v>
      </c>
      <c r="S34" s="86">
        <f>SUMIF(C:C,"South",E:E)</f>
        <v>303623.68999999994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25">
      <c r="A35" s="8" t="s">
        <v>73</v>
      </c>
      <c r="B35" s="9" t="s">
        <v>575</v>
      </c>
      <c r="C35" s="4" t="s">
        <v>575</v>
      </c>
      <c r="D35" s="10" t="s">
        <v>13</v>
      </c>
      <c r="E35" s="10">
        <v>3594.76</v>
      </c>
      <c r="F35" s="10" t="str">
        <f>IF(DMart_Sales_Data[[#This Row],[sales]]&gt;=3000,"High Sales",IF(DMart_Sales_Data[[#This Row],[sales]]&gt;=1000,"Medium Sales",IF(DMart_Sales_Data[[#This Row],[sales]]&lt;1000,"Low Sales")))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5" t="str">
        <f>PROPER(DMart_Sales_Data[[#This Row],[city]])</f>
        <v>Pune</v>
      </c>
      <c r="O35" s="12" t="s">
        <v>26</v>
      </c>
      <c r="P35" s="66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93" t="s">
        <v>676</v>
      </c>
      <c r="S35" s="86">
        <f>SUMIF(C:C,"East",E:E)</f>
        <v>337881.26999999996</v>
      </c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25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5" t="str">
        <f>PROPER(DMart_Sales_Data[[#This Row],[city]])</f>
        <v>Bangalore</v>
      </c>
      <c r="O36" s="17" t="s">
        <v>16</v>
      </c>
      <c r="P36" s="66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93" t="s">
        <v>677</v>
      </c>
      <c r="S36" s="86">
        <f>SUMIF(C:C,"West",E:E)</f>
        <v>346200.06999999983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25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10" t="str">
        <f>IF(DMart_Sales_Data[[#This Row],[sales]]&gt;=3000,"High Sales",IF(DMart_Sales_Data[[#This Row],[sales]]&gt;=1000,"Medium Sales",IF(DMart_Sales_Data[[#This Row],[sales]]&lt;1000,"Low Sales")))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5" t="str">
        <f>PROPER(DMart_Sales_Data[[#This Row],[city]])</f>
        <v>Mumbai</v>
      </c>
      <c r="O37" s="12" t="s">
        <v>54</v>
      </c>
      <c r="P37" s="66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25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5" t="str">
        <f>PROPER(DMart_Sales_Data[[#This Row],[city]])</f>
        <v>Bangalore</v>
      </c>
      <c r="O38" s="17" t="s">
        <v>16</v>
      </c>
      <c r="P38" s="66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93" t="s">
        <v>678</v>
      </c>
      <c r="S38" s="86">
        <f>COUNTIF(C:C,"North")</f>
        <v>124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25">
      <c r="A39" s="8" t="s">
        <v>77</v>
      </c>
      <c r="B39" s="9" t="s">
        <v>575</v>
      </c>
      <c r="C39" s="4" t="s">
        <v>575</v>
      </c>
      <c r="D39" s="10" t="s">
        <v>33</v>
      </c>
      <c r="E39" s="10">
        <v>3339.02</v>
      </c>
      <c r="F39" s="10" t="str">
        <f>IF(DMart_Sales_Data[[#This Row],[sales]]&gt;=3000,"High Sales",IF(DMart_Sales_Data[[#This Row],[sales]]&gt;=1000,"Medium Sales",IF(DMart_Sales_Data[[#This Row],[sales]]&lt;1000,"Low Sales")))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5" t="str">
        <f>PROPER(DMart_Sales_Data[[#This Row],[city]])</f>
        <v>Mumbai</v>
      </c>
      <c r="O39" s="12" t="s">
        <v>78</v>
      </c>
      <c r="P39" s="66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93" t="s">
        <v>679</v>
      </c>
      <c r="S39" s="86">
        <f>COUNTIF(C:C,"South")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25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15" t="str">
        <f>IF(DMart_Sales_Data[[#This Row],[sales]]&gt;=3000,"High Sales",IF(DMart_Sales_Data[[#This Row],[sales]]&gt;=1000,"Medium Sales",IF(DMart_Sales_Data[[#This Row],[sales]]&lt;1000,"Low Sales")))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5" t="str">
        <f>PROPER(DMart_Sales_Data[[#This Row],[city]])</f>
        <v>Hyderabad</v>
      </c>
      <c r="O40" s="17" t="s">
        <v>34</v>
      </c>
      <c r="P40" s="66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93" t="s">
        <v>680</v>
      </c>
      <c r="S40" s="86">
        <f>COUNTIF(C:C,"East")</f>
        <v>125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25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10" t="str">
        <f>IF(DMart_Sales_Data[[#This Row],[sales]]&gt;=3000,"High Sales",IF(DMart_Sales_Data[[#This Row],[sales]]&gt;=1000,"Medium Sales",IF(DMart_Sales_Data[[#This Row],[sales]]&lt;1000,"Low Sales")))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5" t="str">
        <f>PROPER(DMart_Sales_Data[[#This Row],[city]])</f>
        <v>Pune</v>
      </c>
      <c r="O41" s="12" t="s">
        <v>38</v>
      </c>
      <c r="P41" s="66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93" t="s">
        <v>681</v>
      </c>
      <c r="S41" s="86">
        <f>COUNTIF(C:C,"West")</f>
        <v>125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25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15" t="str">
        <f>IF(DMart_Sales_Data[[#This Row],[sales]]&gt;=3000,"High Sales",IF(DMart_Sales_Data[[#This Row],[sales]]&gt;=1000,"Medium Sales",IF(DMart_Sales_Data[[#This Row],[sales]]&lt;1000,"Low Sales")))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5" t="str">
        <f>PROPER(DMart_Sales_Data[[#This Row],[city]])</f>
        <v>Mumbai</v>
      </c>
      <c r="O42" s="17" t="s">
        <v>78</v>
      </c>
      <c r="P42" s="66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25">
      <c r="A43" s="8" t="s">
        <v>82</v>
      </c>
      <c r="B43" s="9" t="s">
        <v>575</v>
      </c>
      <c r="C43" s="4" t="s">
        <v>575</v>
      </c>
      <c r="D43" s="10" t="s">
        <v>36</v>
      </c>
      <c r="E43" s="10">
        <v>3492.47</v>
      </c>
      <c r="F43" s="10" t="str">
        <f>IF(DMart_Sales_Data[[#This Row],[sales]]&gt;=3000,"High Sales",IF(DMart_Sales_Data[[#This Row],[sales]]&gt;=1000,"Medium Sales",IF(DMart_Sales_Data[[#This Row],[sales]]&lt;1000,"Low Sales")))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5" t="str">
        <f>PROPER(DMart_Sales_Data[[#This Row],[city]])</f>
        <v>Chennai</v>
      </c>
      <c r="O43" s="12" t="s">
        <v>67</v>
      </c>
      <c r="P43" s="66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93" t="s">
        <v>682</v>
      </c>
      <c r="S43" s="86">
        <f>SUMIFS(E:E,I:I,"&lt;2024-01-01")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25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15" t="str">
        <f>IF(DMart_Sales_Data[[#This Row],[sales]]&gt;=3000,"High Sales",IF(DMart_Sales_Data[[#This Row],[sales]]&gt;=1000,"Medium Sales",IF(DMart_Sales_Data[[#This Row],[sales]]&lt;1000,"Low Sales")))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5" t="str">
        <f>PROPER(DMart_Sales_Data[[#This Row],[city]])</f>
        <v>Chennai</v>
      </c>
      <c r="O44" s="17" t="s">
        <v>67</v>
      </c>
      <c r="P44" s="66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93" t="s">
        <v>683</v>
      </c>
      <c r="S44" s="86">
        <f>SUMIFS(E:E,I:I,"&lt;2025-01-01")</f>
        <v>1322669.1900000023</v>
      </c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25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10" t="str">
        <f>IF(DMart_Sales_Data[[#This Row],[sales]]&gt;=3000,"High Sales",IF(DMart_Sales_Data[[#This Row],[sales]]&gt;=1000,"Medium Sales",IF(DMart_Sales_Data[[#This Row],[sales]]&lt;1000,"Low Sales")))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5" t="str">
        <f>PROPER(DMart_Sales_Data[[#This Row],[city]])</f>
        <v>Chennai</v>
      </c>
      <c r="O45" s="12" t="s">
        <v>40</v>
      </c>
      <c r="P45" s="66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25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5" t="str">
        <f>PROPER(DMart_Sales_Data[[#This Row],[city]])</f>
        <v>Chennai</v>
      </c>
      <c r="O46" s="17" t="s">
        <v>40</v>
      </c>
      <c r="P46" s="66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92" t="s">
        <v>684</v>
      </c>
      <c r="S46" s="1">
        <f>SUMIF(I:I,"&gt;2024-06-30",E:E)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25">
      <c r="A47" s="8" t="s">
        <v>86</v>
      </c>
      <c r="B47" s="9" t="s">
        <v>575</v>
      </c>
      <c r="C47" s="4" t="s">
        <v>575</v>
      </c>
      <c r="D47" s="10" t="s">
        <v>24</v>
      </c>
      <c r="E47" s="10">
        <v>3379.7</v>
      </c>
      <c r="F47" s="10" t="str">
        <f>IF(DMart_Sales_Data[[#This Row],[sales]]&gt;=3000,"High Sales",IF(DMart_Sales_Data[[#This Row],[sales]]&gt;=1000,"Medium Sales",IF(DMart_Sales_Data[[#This Row],[sales]]&lt;1000,"Low Sales")))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5" t="str">
        <f>PROPER(DMart_Sales_Data[[#This Row],[city]])</f>
        <v>Bangalore</v>
      </c>
      <c r="O47" s="12" t="s">
        <v>16</v>
      </c>
      <c r="P47" s="66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25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5" t="str">
        <f>PROPER(DMart_Sales_Data[[#This Row],[city]])</f>
        <v>Bangalore</v>
      </c>
      <c r="O48" s="17" t="s">
        <v>51</v>
      </c>
      <c r="P48" s="66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25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10" t="str">
        <f>IF(DMart_Sales_Data[[#This Row],[sales]]&gt;=3000,"High Sales",IF(DMart_Sales_Data[[#This Row],[sales]]&gt;=1000,"Medium Sales",IF(DMart_Sales_Data[[#This Row],[sales]]&lt;1000,"Low Sales")))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5" t="str">
        <f>PROPER(DMart_Sales_Data[[#This Row],[city]])</f>
        <v>Hyderabad</v>
      </c>
      <c r="O49" s="12" t="s">
        <v>29</v>
      </c>
      <c r="P49" s="66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25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15" t="str">
        <f>IF(DMart_Sales_Data[[#This Row],[sales]]&gt;=3000,"High Sales",IF(DMart_Sales_Data[[#This Row],[sales]]&gt;=1000,"Medium Sales",IF(DMart_Sales_Data[[#This Row],[sales]]&lt;1000,"Low Sales")))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5" t="str">
        <f>PROPER(DMart_Sales_Data[[#This Row],[city]])</f>
        <v>Hyderabad</v>
      </c>
      <c r="O50" s="17" t="s">
        <v>57</v>
      </c>
      <c r="P50" s="66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25">
      <c r="A51" s="8" t="s">
        <v>90</v>
      </c>
      <c r="B51" s="9" t="s">
        <v>575</v>
      </c>
      <c r="C51" s="4" t="s">
        <v>575</v>
      </c>
      <c r="D51" s="10" t="s">
        <v>33</v>
      </c>
      <c r="E51" s="10">
        <v>3986.89</v>
      </c>
      <c r="F51" s="10" t="str">
        <f>IF(DMart_Sales_Data[[#This Row],[sales]]&gt;=3000,"High Sales",IF(DMart_Sales_Data[[#This Row],[sales]]&gt;=1000,"Medium Sales",IF(DMart_Sales_Data[[#This Row],[sales]]&lt;1000,"Low Sales")))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5" t="str">
        <f>PROPER(DMart_Sales_Data[[#This Row],[city]])</f>
        <v>Pune</v>
      </c>
      <c r="O51" s="12" t="s">
        <v>38</v>
      </c>
      <c r="P51" s="66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25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15" t="str">
        <f>IF(DMart_Sales_Data[[#This Row],[sales]]&gt;=3000,"High Sales",IF(DMart_Sales_Data[[#This Row],[sales]]&gt;=1000,"Medium Sales",IF(DMart_Sales_Data[[#This Row],[sales]]&lt;1000,"Low Sales")))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5" t="str">
        <f>PROPER(DMart_Sales_Data[[#This Row],[city]])</f>
        <v>Pune</v>
      </c>
      <c r="O52" s="17" t="s">
        <v>26</v>
      </c>
      <c r="P52" s="66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25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10" t="str">
        <f>IF(DMart_Sales_Data[[#This Row],[sales]]&gt;=3000,"High Sales",IF(DMart_Sales_Data[[#This Row],[sales]]&gt;=1000,"Medium Sales",IF(DMart_Sales_Data[[#This Row],[sales]]&lt;1000,"Low Sales")))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5" t="str">
        <f>PROPER(DMart_Sales_Data[[#This Row],[city]])</f>
        <v>Mumbai</v>
      </c>
      <c r="O53" s="12" t="s">
        <v>21</v>
      </c>
      <c r="P53" s="66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25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15" t="str">
        <f>IF(DMart_Sales_Data[[#This Row],[sales]]&gt;=3000,"High Sales",IF(DMart_Sales_Data[[#This Row],[sales]]&gt;=1000,"Medium Sales",IF(DMart_Sales_Data[[#This Row],[sales]]&lt;1000,"Low Sales")))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5" t="str">
        <f>PROPER(DMart_Sales_Data[[#This Row],[city]])</f>
        <v>Bangalore</v>
      </c>
      <c r="O54" s="17" t="s">
        <v>94</v>
      </c>
      <c r="P54" s="66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25">
      <c r="A55" s="8" t="s">
        <v>95</v>
      </c>
      <c r="B55" s="9" t="s">
        <v>575</v>
      </c>
      <c r="C55" s="4" t="s">
        <v>575</v>
      </c>
      <c r="D55" s="10" t="s">
        <v>18</v>
      </c>
      <c r="E55" s="10">
        <v>177.03</v>
      </c>
      <c r="F55" s="10" t="str">
        <f>IF(DMart_Sales_Data[[#This Row],[sales]]&gt;=3000,"High Sales",IF(DMart_Sales_Data[[#This Row],[sales]]&gt;=1000,"Medium Sales",IF(DMart_Sales_Data[[#This Row],[sales]]&lt;1000,"Low Sales")))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5" t="str">
        <f>PROPER(DMart_Sales_Data[[#This Row],[city]])</f>
        <v>Pune</v>
      </c>
      <c r="O55" s="12" t="s">
        <v>38</v>
      </c>
      <c r="P55" s="66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25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15" t="str">
        <f>IF(DMart_Sales_Data[[#This Row],[sales]]&gt;=3000,"High Sales",IF(DMart_Sales_Data[[#This Row],[sales]]&gt;=1000,"Medium Sales",IF(DMart_Sales_Data[[#This Row],[sales]]&lt;1000,"Low Sales")))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5" t="str">
        <f>PROPER(DMart_Sales_Data[[#This Row],[city]])</f>
        <v>Chennai</v>
      </c>
      <c r="O56" s="17" t="s">
        <v>40</v>
      </c>
      <c r="P56" s="66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25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10" t="str">
        <f>IF(DMart_Sales_Data[[#This Row],[sales]]&gt;=3000,"High Sales",IF(DMart_Sales_Data[[#This Row],[sales]]&gt;=1000,"Medium Sales",IF(DMart_Sales_Data[[#This Row],[sales]]&lt;1000,"Low Sales")))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5" t="str">
        <f>PROPER(DMart_Sales_Data[[#This Row],[city]])</f>
        <v>Hyderabad</v>
      </c>
      <c r="O57" s="12" t="s">
        <v>34</v>
      </c>
      <c r="P57" s="66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25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15" t="str">
        <f>IF(DMart_Sales_Data[[#This Row],[sales]]&gt;=3000,"High Sales",IF(DMart_Sales_Data[[#This Row],[sales]]&gt;=1000,"Medium Sales",IF(DMart_Sales_Data[[#This Row],[sales]]&lt;1000,"Low Sales")))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5" t="str">
        <f>PROPER(DMart_Sales_Data[[#This Row],[city]])</f>
        <v>Delhi</v>
      </c>
      <c r="O58" s="17" t="s">
        <v>99</v>
      </c>
      <c r="P58" s="66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25">
      <c r="A59" s="8" t="s">
        <v>100</v>
      </c>
      <c r="B59" s="9" t="s">
        <v>575</v>
      </c>
      <c r="C59" s="4" t="s">
        <v>575</v>
      </c>
      <c r="D59" s="10" t="s">
        <v>18</v>
      </c>
      <c r="E59" s="10">
        <v>4725.93</v>
      </c>
      <c r="F59" s="10" t="str">
        <f>IF(DMart_Sales_Data[[#This Row],[sales]]&gt;=3000,"High Sales",IF(DMart_Sales_Data[[#This Row],[sales]]&gt;=1000,"Medium Sales",IF(DMart_Sales_Data[[#This Row],[sales]]&lt;1000,"Low Sales")))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5" t="str">
        <f>PROPER(DMart_Sales_Data[[#This Row],[city]])</f>
        <v>Bangalore</v>
      </c>
      <c r="O59" s="12" t="s">
        <v>94</v>
      </c>
      <c r="P59" s="66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25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15" t="str">
        <f>IF(DMart_Sales_Data[[#This Row],[sales]]&gt;=3000,"High Sales",IF(DMart_Sales_Data[[#This Row],[sales]]&gt;=1000,"Medium Sales",IF(DMart_Sales_Data[[#This Row],[sales]]&lt;1000,"Low Sales")))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5" t="str">
        <f>PROPER(DMart_Sales_Data[[#This Row],[city]])</f>
        <v>Delhi</v>
      </c>
      <c r="O60" s="17" t="s">
        <v>62</v>
      </c>
      <c r="P60" s="66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25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10" t="str">
        <f>IF(DMart_Sales_Data[[#This Row],[sales]]&gt;=3000,"High Sales",IF(DMart_Sales_Data[[#This Row],[sales]]&gt;=1000,"Medium Sales",IF(DMart_Sales_Data[[#This Row],[sales]]&lt;1000,"Low Sales")))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5" t="str">
        <f>PROPER(DMart_Sales_Data[[#This Row],[city]])</f>
        <v>Bangalore</v>
      </c>
      <c r="O61" s="12" t="s">
        <v>16</v>
      </c>
      <c r="P61" s="66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25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15" t="str">
        <f>IF(DMart_Sales_Data[[#This Row],[sales]]&gt;=3000,"High Sales",IF(DMart_Sales_Data[[#This Row],[sales]]&gt;=1000,"Medium Sales",IF(DMart_Sales_Data[[#This Row],[sales]]&lt;1000,"Low Sales")))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5" t="str">
        <f>PROPER(DMart_Sales_Data[[#This Row],[city]])</f>
        <v>Delhi</v>
      </c>
      <c r="O62" s="17" t="s">
        <v>64</v>
      </c>
      <c r="P62" s="66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25">
      <c r="A63" s="8" t="s">
        <v>104</v>
      </c>
      <c r="B63" s="9" t="s">
        <v>575</v>
      </c>
      <c r="C63" s="4" t="s">
        <v>575</v>
      </c>
      <c r="D63" s="10" t="s">
        <v>13</v>
      </c>
      <c r="E63" s="10">
        <v>307.52999999999997</v>
      </c>
      <c r="F63" s="10" t="str">
        <f>IF(DMart_Sales_Data[[#This Row],[sales]]&gt;=3000,"High Sales",IF(DMart_Sales_Data[[#This Row],[sales]]&gt;=1000,"Medium Sales",IF(DMart_Sales_Data[[#This Row],[sales]]&lt;1000,"Low Sales")))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5" t="str">
        <f>PROPER(DMart_Sales_Data[[#This Row],[city]])</f>
        <v>Hyderabad</v>
      </c>
      <c r="O63" s="12" t="s">
        <v>29</v>
      </c>
      <c r="P63" s="66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25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15" t="str">
        <f>IF(DMart_Sales_Data[[#This Row],[sales]]&gt;=3000,"High Sales",IF(DMart_Sales_Data[[#This Row],[sales]]&gt;=1000,"Medium Sales",IF(DMart_Sales_Data[[#This Row],[sales]]&lt;1000,"Low Sales")))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5" t="str">
        <f>PROPER(DMart_Sales_Data[[#This Row],[city]])</f>
        <v>Delhi</v>
      </c>
      <c r="O64" s="17" t="s">
        <v>99</v>
      </c>
      <c r="P64" s="66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25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10" t="str">
        <f>IF(DMart_Sales_Data[[#This Row],[sales]]&gt;=3000,"High Sales",IF(DMart_Sales_Data[[#This Row],[sales]]&gt;=1000,"Medium Sales",IF(DMart_Sales_Data[[#This Row],[sales]]&lt;1000,"Low Sales")))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5" t="str">
        <f>PROPER(DMart_Sales_Data[[#This Row],[city]])</f>
        <v>Delhi</v>
      </c>
      <c r="O65" s="12" t="s">
        <v>99</v>
      </c>
      <c r="P65" s="66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25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15" t="str">
        <f>IF(DMart_Sales_Data[[#This Row],[sales]]&gt;=3000,"High Sales",IF(DMart_Sales_Data[[#This Row],[sales]]&gt;=1000,"Medium Sales",IF(DMart_Sales_Data[[#This Row],[sales]]&lt;1000,"Low Sales")))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5" t="str">
        <f>PROPER(DMart_Sales_Data[[#This Row],[city]])</f>
        <v>Hyderabad</v>
      </c>
      <c r="O66" s="17" t="s">
        <v>29</v>
      </c>
      <c r="P66" s="66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25">
      <c r="A67" s="8" t="s">
        <v>108</v>
      </c>
      <c r="B67" s="9" t="s">
        <v>575</v>
      </c>
      <c r="C67" s="4" t="s">
        <v>575</v>
      </c>
      <c r="D67" s="10" t="s">
        <v>33</v>
      </c>
      <c r="E67" s="10">
        <v>4335.26</v>
      </c>
      <c r="F67" s="10" t="str">
        <f>IF(DMart_Sales_Data[[#This Row],[sales]]&gt;=3000,"High Sales",IF(DMart_Sales_Data[[#This Row],[sales]]&gt;=1000,"Medium Sales",IF(DMart_Sales_Data[[#This Row],[sales]]&lt;1000,"Low Sales")))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5" t="str">
        <f>PROPER(DMart_Sales_Data[[#This Row],[city]])</f>
        <v>Chennai</v>
      </c>
      <c r="O67" s="12" t="s">
        <v>40</v>
      </c>
      <c r="P67" s="66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25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15" t="str">
        <f>IF(DMart_Sales_Data[[#This Row],[sales]]&gt;=3000,"High Sales",IF(DMart_Sales_Data[[#This Row],[sales]]&gt;=1000,"Medium Sales",IF(DMart_Sales_Data[[#This Row],[sales]]&lt;1000,"Low Sales")))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5" t="str">
        <f>PROPER(DMart_Sales_Data[[#This Row],[city]])</f>
        <v>Hyderabad</v>
      </c>
      <c r="O68" s="17" t="s">
        <v>34</v>
      </c>
      <c r="P68" s="66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25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10" t="str">
        <f>IF(DMart_Sales_Data[[#This Row],[sales]]&gt;=3000,"High Sales",IF(DMart_Sales_Data[[#This Row],[sales]]&gt;=1000,"Medium Sales",IF(DMart_Sales_Data[[#This Row],[sales]]&lt;1000,"Low Sales")))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5" t="str">
        <f>PROPER(DMart_Sales_Data[[#This Row],[city]])</f>
        <v>Chennai</v>
      </c>
      <c r="O69" s="12" t="s">
        <v>67</v>
      </c>
      <c r="P69" s="66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25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15" t="str">
        <f>IF(DMart_Sales_Data[[#This Row],[sales]]&gt;=3000,"High Sales",IF(DMart_Sales_Data[[#This Row],[sales]]&gt;=1000,"Medium Sales",IF(DMart_Sales_Data[[#This Row],[sales]]&lt;1000,"Low Sales")))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5" t="str">
        <f>PROPER(DMart_Sales_Data[[#This Row],[city]])</f>
        <v>Delhi</v>
      </c>
      <c r="O70" s="17" t="s">
        <v>99</v>
      </c>
      <c r="P70" s="66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25">
      <c r="A71" s="8" t="s">
        <v>112</v>
      </c>
      <c r="B71" s="9" t="s">
        <v>575</v>
      </c>
      <c r="C71" s="4" t="s">
        <v>575</v>
      </c>
      <c r="D71" s="10" t="s">
        <v>33</v>
      </c>
      <c r="E71" s="10">
        <v>2527.31</v>
      </c>
      <c r="F71" s="10" t="str">
        <f>IF(DMart_Sales_Data[[#This Row],[sales]]&gt;=3000,"High Sales",IF(DMart_Sales_Data[[#This Row],[sales]]&gt;=1000,"Medium Sales",IF(DMart_Sales_Data[[#This Row],[sales]]&lt;1000,"Low Sales")))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5" t="str">
        <f>PROPER(DMart_Sales_Data[[#This Row],[city]])</f>
        <v>Hyderabad</v>
      </c>
      <c r="O71" s="12" t="s">
        <v>57</v>
      </c>
      <c r="P71" s="66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25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15" t="str">
        <f>IF(DMart_Sales_Data[[#This Row],[sales]]&gt;=3000,"High Sales",IF(DMart_Sales_Data[[#This Row],[sales]]&gt;=1000,"Medium Sales",IF(DMart_Sales_Data[[#This Row],[sales]]&lt;1000,"Low Sales")))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5" t="str">
        <f>PROPER(DMart_Sales_Data[[#This Row],[city]])</f>
        <v>Hyderabad</v>
      </c>
      <c r="O72" s="17" t="s">
        <v>34</v>
      </c>
      <c r="P72" s="66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25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10" t="str">
        <f>IF(DMart_Sales_Data[[#This Row],[sales]]&gt;=3000,"High Sales",IF(DMart_Sales_Data[[#This Row],[sales]]&gt;=1000,"Medium Sales",IF(DMart_Sales_Data[[#This Row],[sales]]&lt;1000,"Low Sales")))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5" t="str">
        <f>PROPER(DMart_Sales_Data[[#This Row],[city]])</f>
        <v>Mumbai</v>
      </c>
      <c r="O73" s="12" t="s">
        <v>78</v>
      </c>
      <c r="P73" s="66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25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15" t="str">
        <f>IF(DMart_Sales_Data[[#This Row],[sales]]&gt;=3000,"High Sales",IF(DMart_Sales_Data[[#This Row],[sales]]&gt;=1000,"Medium Sales",IF(DMart_Sales_Data[[#This Row],[sales]]&lt;1000,"Low Sales")))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5" t="str">
        <f>PROPER(DMart_Sales_Data[[#This Row],[city]])</f>
        <v>Delhi</v>
      </c>
      <c r="O74" s="17" t="s">
        <v>62</v>
      </c>
      <c r="P74" s="66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25">
      <c r="A75" s="8" t="s">
        <v>116</v>
      </c>
      <c r="B75" s="9" t="s">
        <v>575</v>
      </c>
      <c r="C75" s="4" t="s">
        <v>575</v>
      </c>
      <c r="D75" s="10" t="s">
        <v>24</v>
      </c>
      <c r="E75" s="10">
        <v>3860.05</v>
      </c>
      <c r="F75" s="10" t="str">
        <f>IF(DMart_Sales_Data[[#This Row],[sales]]&gt;=3000,"High Sales",IF(DMart_Sales_Data[[#This Row],[sales]]&gt;=1000,"Medium Sales",IF(DMart_Sales_Data[[#This Row],[sales]]&lt;1000,"Low Sales")))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5" t="str">
        <f>PROPER(DMart_Sales_Data[[#This Row],[city]])</f>
        <v>Hyderabad</v>
      </c>
      <c r="O75" s="12" t="s">
        <v>29</v>
      </c>
      <c r="P75" s="66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25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15" t="str">
        <f>IF(DMart_Sales_Data[[#This Row],[sales]]&gt;=3000,"High Sales",IF(DMart_Sales_Data[[#This Row],[sales]]&gt;=1000,"Medium Sales",IF(DMart_Sales_Data[[#This Row],[sales]]&lt;1000,"Low Sales")))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5" t="str">
        <f>PROPER(DMart_Sales_Data[[#This Row],[city]])</f>
        <v>Bangalore</v>
      </c>
      <c r="O76" s="17" t="s">
        <v>51</v>
      </c>
      <c r="P76" s="66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25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10" t="str">
        <f>IF(DMart_Sales_Data[[#This Row],[sales]]&gt;=3000,"High Sales",IF(DMart_Sales_Data[[#This Row],[sales]]&gt;=1000,"Medium Sales",IF(DMart_Sales_Data[[#This Row],[sales]]&lt;1000,"Low Sales")))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5" t="str">
        <f>PROPER(DMart_Sales_Data[[#This Row],[city]])</f>
        <v>Bangalore</v>
      </c>
      <c r="O77" s="12" t="s">
        <v>51</v>
      </c>
      <c r="P77" s="66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25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15" t="str">
        <f>IF(DMart_Sales_Data[[#This Row],[sales]]&gt;=3000,"High Sales",IF(DMart_Sales_Data[[#This Row],[sales]]&gt;=1000,"Medium Sales",IF(DMart_Sales_Data[[#This Row],[sales]]&lt;1000,"Low Sales")))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5" t="str">
        <f>PROPER(DMart_Sales_Data[[#This Row],[city]])</f>
        <v>Mumbai</v>
      </c>
      <c r="O78" s="17" t="s">
        <v>54</v>
      </c>
      <c r="P78" s="66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25">
      <c r="A79" s="8" t="s">
        <v>120</v>
      </c>
      <c r="B79" s="9" t="s">
        <v>575</v>
      </c>
      <c r="C79" s="4" t="s">
        <v>575</v>
      </c>
      <c r="D79" s="10" t="s">
        <v>18</v>
      </c>
      <c r="E79" s="10">
        <v>1570.89</v>
      </c>
      <c r="F79" s="10" t="str">
        <f>IF(DMart_Sales_Data[[#This Row],[sales]]&gt;=3000,"High Sales",IF(DMart_Sales_Data[[#This Row],[sales]]&gt;=1000,"Medium Sales",IF(DMart_Sales_Data[[#This Row],[sales]]&lt;1000,"Low Sales")))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5" t="str">
        <f>PROPER(DMart_Sales_Data[[#This Row],[city]])</f>
        <v>Bangalore</v>
      </c>
      <c r="O79" s="12" t="s">
        <v>94</v>
      </c>
      <c r="P79" s="66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25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15" t="str">
        <f>IF(DMart_Sales_Data[[#This Row],[sales]]&gt;=3000,"High Sales",IF(DMart_Sales_Data[[#This Row],[sales]]&gt;=1000,"Medium Sales",IF(DMart_Sales_Data[[#This Row],[sales]]&lt;1000,"Low Sales")))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5" t="str">
        <f>PROPER(DMart_Sales_Data[[#This Row],[city]])</f>
        <v>Hyderabad</v>
      </c>
      <c r="O80" s="17" t="s">
        <v>29</v>
      </c>
      <c r="P80" s="66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25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10" t="str">
        <f>IF(DMart_Sales_Data[[#This Row],[sales]]&gt;=3000,"High Sales",IF(DMart_Sales_Data[[#This Row],[sales]]&gt;=1000,"Medium Sales",IF(DMart_Sales_Data[[#This Row],[sales]]&lt;1000,"Low Sales")))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5" t="str">
        <f>PROPER(DMart_Sales_Data[[#This Row],[city]])</f>
        <v>Chennai</v>
      </c>
      <c r="O81" s="12" t="s">
        <v>40</v>
      </c>
      <c r="P81" s="66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25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15" t="str">
        <f>IF(DMart_Sales_Data[[#This Row],[sales]]&gt;=3000,"High Sales",IF(DMart_Sales_Data[[#This Row],[sales]]&gt;=1000,"Medium Sales",IF(DMart_Sales_Data[[#This Row],[sales]]&lt;1000,"Low Sales")))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5" t="str">
        <f>PROPER(DMart_Sales_Data[[#This Row],[city]])</f>
        <v>Chennai</v>
      </c>
      <c r="O82" s="17" t="s">
        <v>40</v>
      </c>
      <c r="P82" s="66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25">
      <c r="A83" s="8" t="s">
        <v>124</v>
      </c>
      <c r="B83" s="9" t="s">
        <v>575</v>
      </c>
      <c r="C83" s="4" t="s">
        <v>575</v>
      </c>
      <c r="D83" s="10" t="s">
        <v>13</v>
      </c>
      <c r="E83" s="10">
        <v>671.86</v>
      </c>
      <c r="F83" s="10" t="str">
        <f>IF(DMart_Sales_Data[[#This Row],[sales]]&gt;=3000,"High Sales",IF(DMart_Sales_Data[[#This Row],[sales]]&gt;=1000,"Medium Sales",IF(DMart_Sales_Data[[#This Row],[sales]]&lt;1000,"Low Sales")))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5" t="str">
        <f>PROPER(DMart_Sales_Data[[#This Row],[city]])</f>
        <v>Pune</v>
      </c>
      <c r="O83" s="12" t="s">
        <v>38</v>
      </c>
      <c r="P83" s="66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25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15" t="str">
        <f>IF(DMart_Sales_Data[[#This Row],[sales]]&gt;=3000,"High Sales",IF(DMart_Sales_Data[[#This Row],[sales]]&gt;=1000,"Medium Sales",IF(DMart_Sales_Data[[#This Row],[sales]]&lt;1000,"Low Sales")))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5" t="str">
        <f>PROPER(DMart_Sales_Data[[#This Row],[city]])</f>
        <v>Bangalore</v>
      </c>
      <c r="O84" s="17" t="s">
        <v>94</v>
      </c>
      <c r="P84" s="66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25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10" t="str">
        <f>IF(DMart_Sales_Data[[#This Row],[sales]]&gt;=3000,"High Sales",IF(DMart_Sales_Data[[#This Row],[sales]]&gt;=1000,"Medium Sales",IF(DMart_Sales_Data[[#This Row],[sales]]&lt;1000,"Low Sales")))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5" t="str">
        <f>PROPER(DMart_Sales_Data[[#This Row],[city]])</f>
        <v>Hyderabad</v>
      </c>
      <c r="O85" s="12" t="s">
        <v>57</v>
      </c>
      <c r="P85" s="66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25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15" t="str">
        <f>IF(DMart_Sales_Data[[#This Row],[sales]]&gt;=3000,"High Sales",IF(DMart_Sales_Data[[#This Row],[sales]]&gt;=1000,"Medium Sales",IF(DMart_Sales_Data[[#This Row],[sales]]&lt;1000,"Low Sales")))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5" t="str">
        <f>PROPER(DMart_Sales_Data[[#This Row],[city]])</f>
        <v>Hyderabad</v>
      </c>
      <c r="O86" s="17" t="s">
        <v>57</v>
      </c>
      <c r="P86" s="66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25">
      <c r="A87" s="8" t="s">
        <v>128</v>
      </c>
      <c r="B87" s="9" t="s">
        <v>575</v>
      </c>
      <c r="C87" s="4" t="s">
        <v>575</v>
      </c>
      <c r="D87" s="10" t="s">
        <v>36</v>
      </c>
      <c r="E87" s="10">
        <v>4748.67</v>
      </c>
      <c r="F87" s="10" t="str">
        <f>IF(DMart_Sales_Data[[#This Row],[sales]]&gt;=3000,"High Sales",IF(DMart_Sales_Data[[#This Row],[sales]]&gt;=1000,"Medium Sales",IF(DMart_Sales_Data[[#This Row],[sales]]&lt;1000,"Low Sales")))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5" t="str">
        <f>PROPER(DMart_Sales_Data[[#This Row],[city]])</f>
        <v>Chennai</v>
      </c>
      <c r="O87" s="12" t="s">
        <v>40</v>
      </c>
      <c r="P87" s="66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25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15" t="str">
        <f>IF(DMart_Sales_Data[[#This Row],[sales]]&gt;=3000,"High Sales",IF(DMart_Sales_Data[[#This Row],[sales]]&gt;=1000,"Medium Sales",IF(DMart_Sales_Data[[#This Row],[sales]]&lt;1000,"Low Sales")))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5" t="str">
        <f>PROPER(DMart_Sales_Data[[#This Row],[city]])</f>
        <v>Pune</v>
      </c>
      <c r="O88" s="17" t="s">
        <v>26</v>
      </c>
      <c r="P88" s="66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25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10" t="str">
        <f>IF(DMart_Sales_Data[[#This Row],[sales]]&gt;=3000,"High Sales",IF(DMart_Sales_Data[[#This Row],[sales]]&gt;=1000,"Medium Sales",IF(DMart_Sales_Data[[#This Row],[sales]]&lt;1000,"Low Sales")))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5" t="str">
        <f>PROPER(DMart_Sales_Data[[#This Row],[city]])</f>
        <v>Mumbai</v>
      </c>
      <c r="O89" s="12" t="s">
        <v>54</v>
      </c>
      <c r="P89" s="66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25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15" t="str">
        <f>IF(DMart_Sales_Data[[#This Row],[sales]]&gt;=3000,"High Sales",IF(DMart_Sales_Data[[#This Row],[sales]]&gt;=1000,"Medium Sales",IF(DMart_Sales_Data[[#This Row],[sales]]&lt;1000,"Low Sales")))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5" t="str">
        <f>PROPER(DMart_Sales_Data[[#This Row],[city]])</f>
        <v>Hyderabad</v>
      </c>
      <c r="O90" s="17" t="s">
        <v>34</v>
      </c>
      <c r="P90" s="66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25">
      <c r="A91" s="8" t="s">
        <v>132</v>
      </c>
      <c r="B91" s="9" t="s">
        <v>575</v>
      </c>
      <c r="C91" s="4" t="s">
        <v>575</v>
      </c>
      <c r="D91" s="10" t="s">
        <v>33</v>
      </c>
      <c r="E91" s="10">
        <v>753.6</v>
      </c>
      <c r="F91" s="10" t="str">
        <f>IF(DMart_Sales_Data[[#This Row],[sales]]&gt;=3000,"High Sales",IF(DMart_Sales_Data[[#This Row],[sales]]&gt;=1000,"Medium Sales",IF(DMart_Sales_Data[[#This Row],[sales]]&lt;1000,"Low Sales")))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5" t="str">
        <f>PROPER(DMart_Sales_Data[[#This Row],[city]])</f>
        <v>Mumbai</v>
      </c>
      <c r="O91" s="12" t="s">
        <v>78</v>
      </c>
      <c r="P91" s="66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25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15" t="str">
        <f>IF(DMart_Sales_Data[[#This Row],[sales]]&gt;=3000,"High Sales",IF(DMart_Sales_Data[[#This Row],[sales]]&gt;=1000,"Medium Sales",IF(DMart_Sales_Data[[#This Row],[sales]]&lt;1000,"Low Sales")))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5" t="str">
        <f>PROPER(DMart_Sales_Data[[#This Row],[city]])</f>
        <v>Mumbai</v>
      </c>
      <c r="O92" s="17" t="s">
        <v>54</v>
      </c>
      <c r="P92" s="66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25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10" t="str">
        <f>IF(DMart_Sales_Data[[#This Row],[sales]]&gt;=3000,"High Sales",IF(DMart_Sales_Data[[#This Row],[sales]]&gt;=1000,"Medium Sales",IF(DMart_Sales_Data[[#This Row],[sales]]&lt;1000,"Low Sales")))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5" t="str">
        <f>PROPER(DMart_Sales_Data[[#This Row],[city]])</f>
        <v>Hyderabad</v>
      </c>
      <c r="O93" s="12" t="s">
        <v>29</v>
      </c>
      <c r="P93" s="66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25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15" t="str">
        <f>IF(DMart_Sales_Data[[#This Row],[sales]]&gt;=3000,"High Sales",IF(DMart_Sales_Data[[#This Row],[sales]]&gt;=1000,"Medium Sales",IF(DMart_Sales_Data[[#This Row],[sales]]&lt;1000,"Low Sales")))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5" t="str">
        <f>PROPER(DMart_Sales_Data[[#This Row],[city]])</f>
        <v>Hyderabad</v>
      </c>
      <c r="O94" s="17" t="s">
        <v>29</v>
      </c>
      <c r="P94" s="66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25">
      <c r="A95" s="8" t="s">
        <v>136</v>
      </c>
      <c r="B95" s="9" t="s">
        <v>575</v>
      </c>
      <c r="C95" s="4" t="s">
        <v>575</v>
      </c>
      <c r="D95" s="10" t="s">
        <v>24</v>
      </c>
      <c r="E95" s="10">
        <v>2688.63</v>
      </c>
      <c r="F95" s="10" t="str">
        <f>IF(DMart_Sales_Data[[#This Row],[sales]]&gt;=3000,"High Sales",IF(DMart_Sales_Data[[#This Row],[sales]]&gt;=1000,"Medium Sales",IF(DMart_Sales_Data[[#This Row],[sales]]&lt;1000,"Low Sales")))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5" t="str">
        <f>PROPER(DMart_Sales_Data[[#This Row],[city]])</f>
        <v>Delhi</v>
      </c>
      <c r="O95" s="12" t="s">
        <v>99</v>
      </c>
      <c r="P95" s="66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25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15" t="str">
        <f>IF(DMart_Sales_Data[[#This Row],[sales]]&gt;=3000,"High Sales",IF(DMart_Sales_Data[[#This Row],[sales]]&gt;=1000,"Medium Sales",IF(DMart_Sales_Data[[#This Row],[sales]]&lt;1000,"Low Sales")))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5" t="str">
        <f>PROPER(DMart_Sales_Data[[#This Row],[city]])</f>
        <v>Hyderabad</v>
      </c>
      <c r="O96" s="17" t="s">
        <v>34</v>
      </c>
      <c r="P96" s="66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25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10" t="str">
        <f>IF(DMart_Sales_Data[[#This Row],[sales]]&gt;=3000,"High Sales",IF(DMart_Sales_Data[[#This Row],[sales]]&gt;=1000,"Medium Sales",IF(DMart_Sales_Data[[#This Row],[sales]]&lt;1000,"Low Sales")))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5" t="str">
        <f>PROPER(DMart_Sales_Data[[#This Row],[city]])</f>
        <v>Bangalore</v>
      </c>
      <c r="O97" s="12" t="s">
        <v>94</v>
      </c>
      <c r="P97" s="66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25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15" t="str">
        <f>IF(DMart_Sales_Data[[#This Row],[sales]]&gt;=3000,"High Sales",IF(DMart_Sales_Data[[#This Row],[sales]]&gt;=1000,"Medium Sales",IF(DMart_Sales_Data[[#This Row],[sales]]&lt;1000,"Low Sales")))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5" t="str">
        <f>PROPER(DMart_Sales_Data[[#This Row],[city]])</f>
        <v>Chennai</v>
      </c>
      <c r="O98" s="17" t="s">
        <v>67</v>
      </c>
      <c r="P98" s="66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25">
      <c r="A99" s="8" t="s">
        <v>140</v>
      </c>
      <c r="B99" s="9" t="s">
        <v>575</v>
      </c>
      <c r="C99" s="4" t="s">
        <v>575</v>
      </c>
      <c r="D99" s="10" t="s">
        <v>33</v>
      </c>
      <c r="E99" s="10">
        <v>4172.63</v>
      </c>
      <c r="F99" s="10" t="str">
        <f>IF(DMart_Sales_Data[[#This Row],[sales]]&gt;=3000,"High Sales",IF(DMart_Sales_Data[[#This Row],[sales]]&gt;=1000,"Medium Sales",IF(DMart_Sales_Data[[#This Row],[sales]]&lt;1000,"Low Sales")))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5" t="str">
        <f>PROPER(DMart_Sales_Data[[#This Row],[city]])</f>
        <v>Hyderabad</v>
      </c>
      <c r="O99" s="12" t="s">
        <v>57</v>
      </c>
      <c r="P99" s="66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25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15" t="str">
        <f>IF(DMart_Sales_Data[[#This Row],[sales]]&gt;=3000,"High Sales",IF(DMart_Sales_Data[[#This Row],[sales]]&gt;=1000,"Medium Sales",IF(DMart_Sales_Data[[#This Row],[sales]]&lt;1000,"Low Sales")))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5" t="str">
        <f>PROPER(DMart_Sales_Data[[#This Row],[city]])</f>
        <v>Delhi</v>
      </c>
      <c r="O100" s="17" t="s">
        <v>62</v>
      </c>
      <c r="P100" s="66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25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10" t="str">
        <f>IF(DMart_Sales_Data[[#This Row],[sales]]&gt;=3000,"High Sales",IF(DMart_Sales_Data[[#This Row],[sales]]&gt;=1000,"Medium Sales",IF(DMart_Sales_Data[[#This Row],[sales]]&lt;1000,"Low Sales")))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5" t="str">
        <f>PROPER(DMart_Sales_Data[[#This Row],[city]])</f>
        <v>Pune</v>
      </c>
      <c r="O101" s="12" t="s">
        <v>47</v>
      </c>
      <c r="P101" s="66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25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15" t="str">
        <f>IF(DMart_Sales_Data[[#This Row],[sales]]&gt;=3000,"High Sales",IF(DMart_Sales_Data[[#This Row],[sales]]&gt;=1000,"Medium Sales",IF(DMart_Sales_Data[[#This Row],[sales]]&lt;1000,"Low Sales")))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5" t="str">
        <f>PROPER(DMart_Sales_Data[[#This Row],[city]])</f>
        <v>Hyderabad</v>
      </c>
      <c r="O102" s="17" t="s">
        <v>29</v>
      </c>
      <c r="P102" s="66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25">
      <c r="A103" s="8" t="s">
        <v>144</v>
      </c>
      <c r="B103" s="9" t="s">
        <v>575</v>
      </c>
      <c r="C103" s="4" t="s">
        <v>575</v>
      </c>
      <c r="D103" s="10" t="s">
        <v>33</v>
      </c>
      <c r="E103" s="10">
        <v>4536.76</v>
      </c>
      <c r="F103" s="10" t="str">
        <f>IF(DMart_Sales_Data[[#This Row],[sales]]&gt;=3000,"High Sales",IF(DMart_Sales_Data[[#This Row],[sales]]&gt;=1000,"Medium Sales",IF(DMart_Sales_Data[[#This Row],[sales]]&lt;1000,"Low Sales")))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5" t="str">
        <f>PROPER(DMart_Sales_Data[[#This Row],[city]])</f>
        <v>Chennai</v>
      </c>
      <c r="O103" s="12" t="s">
        <v>40</v>
      </c>
      <c r="P103" s="66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25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15" t="str">
        <f>IF(DMart_Sales_Data[[#This Row],[sales]]&gt;=3000,"High Sales",IF(DMart_Sales_Data[[#This Row],[sales]]&gt;=1000,"Medium Sales",IF(DMart_Sales_Data[[#This Row],[sales]]&lt;1000,"Low Sales")))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5" t="str">
        <f>PROPER(DMart_Sales_Data[[#This Row],[city]])</f>
        <v>Mumbai</v>
      </c>
      <c r="O104" s="17" t="s">
        <v>21</v>
      </c>
      <c r="P104" s="66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25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10" t="str">
        <f>IF(DMart_Sales_Data[[#This Row],[sales]]&gt;=3000,"High Sales",IF(DMart_Sales_Data[[#This Row],[sales]]&gt;=1000,"Medium Sales",IF(DMart_Sales_Data[[#This Row],[sales]]&lt;1000,"Low Sales")))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5" t="str">
        <f>PROPER(DMart_Sales_Data[[#This Row],[city]])</f>
        <v>Mumbai</v>
      </c>
      <c r="O105" s="12" t="s">
        <v>21</v>
      </c>
      <c r="P105" s="66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25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15" t="str">
        <f>IF(DMart_Sales_Data[[#This Row],[sales]]&gt;=3000,"High Sales",IF(DMart_Sales_Data[[#This Row],[sales]]&gt;=1000,"Medium Sales",IF(DMart_Sales_Data[[#This Row],[sales]]&lt;1000,"Low Sales")))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5" t="str">
        <f>PROPER(DMart_Sales_Data[[#This Row],[city]])</f>
        <v>Bangalore</v>
      </c>
      <c r="O106" s="17" t="s">
        <v>94</v>
      </c>
      <c r="P106" s="66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25">
      <c r="A107" s="8" t="s">
        <v>148</v>
      </c>
      <c r="B107" s="9" t="s">
        <v>575</v>
      </c>
      <c r="C107" s="4" t="s">
        <v>575</v>
      </c>
      <c r="D107" s="10" t="s">
        <v>33</v>
      </c>
      <c r="E107" s="10">
        <v>3033.06</v>
      </c>
      <c r="F107" s="10" t="str">
        <f>IF(DMart_Sales_Data[[#This Row],[sales]]&gt;=3000,"High Sales",IF(DMart_Sales_Data[[#This Row],[sales]]&gt;=1000,"Medium Sales",IF(DMart_Sales_Data[[#This Row],[sales]]&lt;1000,"Low Sales")))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5" t="str">
        <f>PROPER(DMart_Sales_Data[[#This Row],[city]])</f>
        <v>Mumbai</v>
      </c>
      <c r="O107" s="12" t="s">
        <v>54</v>
      </c>
      <c r="P107" s="66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25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15" t="str">
        <f>IF(DMart_Sales_Data[[#This Row],[sales]]&gt;=3000,"High Sales",IF(DMart_Sales_Data[[#This Row],[sales]]&gt;=1000,"Medium Sales",IF(DMart_Sales_Data[[#This Row],[sales]]&lt;1000,"Low Sales")))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5" t="str">
        <f>PROPER(DMart_Sales_Data[[#This Row],[city]])</f>
        <v>Hyderabad</v>
      </c>
      <c r="O108" s="17" t="s">
        <v>57</v>
      </c>
      <c r="P108" s="66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25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10" t="str">
        <f>IF(DMart_Sales_Data[[#This Row],[sales]]&gt;=3000,"High Sales",IF(DMart_Sales_Data[[#This Row],[sales]]&gt;=1000,"Medium Sales",IF(DMart_Sales_Data[[#This Row],[sales]]&lt;1000,"Low Sales")))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5" t="str">
        <f>PROPER(DMart_Sales_Data[[#This Row],[city]])</f>
        <v>Mumbai</v>
      </c>
      <c r="O109" s="12" t="s">
        <v>78</v>
      </c>
      <c r="P109" s="66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25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15" t="str">
        <f>IF(DMart_Sales_Data[[#This Row],[sales]]&gt;=3000,"High Sales",IF(DMart_Sales_Data[[#This Row],[sales]]&gt;=1000,"Medium Sales",IF(DMart_Sales_Data[[#This Row],[sales]]&lt;1000,"Low Sales")))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5" t="str">
        <f>PROPER(DMart_Sales_Data[[#This Row],[city]])</f>
        <v>Bangalore</v>
      </c>
      <c r="O110" s="17" t="s">
        <v>51</v>
      </c>
      <c r="P110" s="66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25">
      <c r="A111" s="8" t="s">
        <v>152</v>
      </c>
      <c r="B111" s="9" t="s">
        <v>575</v>
      </c>
      <c r="C111" s="4" t="s">
        <v>575</v>
      </c>
      <c r="D111" s="10" t="s">
        <v>36</v>
      </c>
      <c r="E111" s="10">
        <v>3318.86</v>
      </c>
      <c r="F111" s="10" t="str">
        <f>IF(DMart_Sales_Data[[#This Row],[sales]]&gt;=3000,"High Sales",IF(DMart_Sales_Data[[#This Row],[sales]]&gt;=1000,"Medium Sales",IF(DMart_Sales_Data[[#This Row],[sales]]&lt;1000,"Low Sales")))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5" t="str">
        <f>PROPER(DMart_Sales_Data[[#This Row],[city]])</f>
        <v>Pune</v>
      </c>
      <c r="O111" s="12" t="s">
        <v>38</v>
      </c>
      <c r="P111" s="66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25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15" t="str">
        <f>IF(DMart_Sales_Data[[#This Row],[sales]]&gt;=3000,"High Sales",IF(DMart_Sales_Data[[#This Row],[sales]]&gt;=1000,"Medium Sales",IF(DMart_Sales_Data[[#This Row],[sales]]&lt;1000,"Low Sales")))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5" t="str">
        <f>PROPER(DMart_Sales_Data[[#This Row],[city]])</f>
        <v>Delhi</v>
      </c>
      <c r="O112" s="17" t="s">
        <v>62</v>
      </c>
      <c r="P112" s="66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25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10" t="str">
        <f>IF(DMart_Sales_Data[[#This Row],[sales]]&gt;=3000,"High Sales",IF(DMart_Sales_Data[[#This Row],[sales]]&gt;=1000,"Medium Sales",IF(DMart_Sales_Data[[#This Row],[sales]]&lt;1000,"Low Sales")))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5" t="str">
        <f>PROPER(DMart_Sales_Data[[#This Row],[city]])</f>
        <v>Chennai</v>
      </c>
      <c r="O113" s="12" t="s">
        <v>67</v>
      </c>
      <c r="P113" s="66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25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15" t="str">
        <f>IF(DMart_Sales_Data[[#This Row],[sales]]&gt;=3000,"High Sales",IF(DMart_Sales_Data[[#This Row],[sales]]&gt;=1000,"Medium Sales",IF(DMart_Sales_Data[[#This Row],[sales]]&lt;1000,"Low Sales")))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5" t="str">
        <f>PROPER(DMart_Sales_Data[[#This Row],[city]])</f>
        <v>Hyderabad</v>
      </c>
      <c r="O114" s="17" t="s">
        <v>57</v>
      </c>
      <c r="P114" s="66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25">
      <c r="A115" s="8" t="s">
        <v>156</v>
      </c>
      <c r="B115" s="9" t="s">
        <v>575</v>
      </c>
      <c r="C115" s="4" t="s">
        <v>575</v>
      </c>
      <c r="D115" s="10" t="s">
        <v>36</v>
      </c>
      <c r="E115" s="10">
        <v>1160.96</v>
      </c>
      <c r="F1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5" t="str">
        <f>PROPER(DMart_Sales_Data[[#This Row],[city]])</f>
        <v>Hyderabad</v>
      </c>
      <c r="O115" s="12" t="s">
        <v>57</v>
      </c>
      <c r="P115" s="66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25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15" t="str">
        <f>IF(DMart_Sales_Data[[#This Row],[sales]]&gt;=3000,"High Sales",IF(DMart_Sales_Data[[#This Row],[sales]]&gt;=1000,"Medium Sales",IF(DMart_Sales_Data[[#This Row],[sales]]&lt;1000,"Low Sales")))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5" t="str">
        <f>PROPER(DMart_Sales_Data[[#This Row],[city]])</f>
        <v>Delhi</v>
      </c>
      <c r="O116" s="17" t="s">
        <v>64</v>
      </c>
      <c r="P116" s="66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25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10" t="str">
        <f>IF(DMart_Sales_Data[[#This Row],[sales]]&gt;=3000,"High Sales",IF(DMart_Sales_Data[[#This Row],[sales]]&gt;=1000,"Medium Sales",IF(DMart_Sales_Data[[#This Row],[sales]]&lt;1000,"Low Sales")))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5" t="str">
        <f>PROPER(DMart_Sales_Data[[#This Row],[city]])</f>
        <v>Mumbai</v>
      </c>
      <c r="O117" s="12" t="s">
        <v>21</v>
      </c>
      <c r="P117" s="66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25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15" t="str">
        <f>IF(DMart_Sales_Data[[#This Row],[sales]]&gt;=3000,"High Sales",IF(DMart_Sales_Data[[#This Row],[sales]]&gt;=1000,"Medium Sales",IF(DMart_Sales_Data[[#This Row],[sales]]&lt;1000,"Low Sales")))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5" t="str">
        <f>PROPER(DMart_Sales_Data[[#This Row],[city]])</f>
        <v>Bangalore</v>
      </c>
      <c r="O118" s="17" t="s">
        <v>94</v>
      </c>
      <c r="P118" s="66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25">
      <c r="A119" s="8" t="s">
        <v>160</v>
      </c>
      <c r="B119" s="9" t="s">
        <v>575</v>
      </c>
      <c r="C119" s="4" t="s">
        <v>575</v>
      </c>
      <c r="D119" s="10" t="s">
        <v>33</v>
      </c>
      <c r="E119" s="10">
        <v>1293.3800000000001</v>
      </c>
      <c r="F119" s="10" t="str">
        <f>IF(DMart_Sales_Data[[#This Row],[sales]]&gt;=3000,"High Sales",IF(DMart_Sales_Data[[#This Row],[sales]]&gt;=1000,"Medium Sales",IF(DMart_Sales_Data[[#This Row],[sales]]&lt;1000,"Low Sales")))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5" t="str">
        <f>PROPER(DMart_Sales_Data[[#This Row],[city]])</f>
        <v>Bangalore</v>
      </c>
      <c r="O119" s="12" t="s">
        <v>16</v>
      </c>
      <c r="P119" s="66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25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15" t="str">
        <f>IF(DMart_Sales_Data[[#This Row],[sales]]&gt;=3000,"High Sales",IF(DMart_Sales_Data[[#This Row],[sales]]&gt;=1000,"Medium Sales",IF(DMart_Sales_Data[[#This Row],[sales]]&lt;1000,"Low Sales")))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5" t="str">
        <f>PROPER(DMart_Sales_Data[[#This Row],[city]])</f>
        <v>Chennai</v>
      </c>
      <c r="O120" s="17" t="s">
        <v>67</v>
      </c>
      <c r="P120" s="66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25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10" t="str">
        <f>IF(DMart_Sales_Data[[#This Row],[sales]]&gt;=3000,"High Sales",IF(DMart_Sales_Data[[#This Row],[sales]]&gt;=1000,"Medium Sales",IF(DMart_Sales_Data[[#This Row],[sales]]&lt;1000,"Low Sales")))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5" t="str">
        <f>PROPER(DMart_Sales_Data[[#This Row],[city]])</f>
        <v>Mumbai</v>
      </c>
      <c r="O121" s="12" t="s">
        <v>78</v>
      </c>
      <c r="P121" s="66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25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15" t="str">
        <f>IF(DMart_Sales_Data[[#This Row],[sales]]&gt;=3000,"High Sales",IF(DMart_Sales_Data[[#This Row],[sales]]&gt;=1000,"Medium Sales",IF(DMart_Sales_Data[[#This Row],[sales]]&lt;1000,"Low Sales")))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5" t="str">
        <f>PROPER(DMart_Sales_Data[[#This Row],[city]])</f>
        <v>Bangalore</v>
      </c>
      <c r="O122" s="17" t="s">
        <v>51</v>
      </c>
      <c r="P122" s="66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25">
      <c r="A123" s="8" t="s">
        <v>164</v>
      </c>
      <c r="B123" s="9" t="s">
        <v>575</v>
      </c>
      <c r="C123" s="4" t="s">
        <v>575</v>
      </c>
      <c r="D123" s="10" t="s">
        <v>33</v>
      </c>
      <c r="E123" s="10">
        <v>176.35</v>
      </c>
      <c r="F123" s="10" t="str">
        <f>IF(DMart_Sales_Data[[#This Row],[sales]]&gt;=3000,"High Sales",IF(DMart_Sales_Data[[#This Row],[sales]]&gt;=1000,"Medium Sales",IF(DMart_Sales_Data[[#This Row],[sales]]&lt;1000,"Low Sales")))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5" t="str">
        <f>PROPER(DMart_Sales_Data[[#This Row],[city]])</f>
        <v>Mumbai</v>
      </c>
      <c r="O123" s="12" t="s">
        <v>78</v>
      </c>
      <c r="P123" s="66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25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15" t="str">
        <f>IF(DMart_Sales_Data[[#This Row],[sales]]&gt;=3000,"High Sales",IF(DMart_Sales_Data[[#This Row],[sales]]&gt;=1000,"Medium Sales",IF(DMart_Sales_Data[[#This Row],[sales]]&lt;1000,"Low Sales")))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5" t="str">
        <f>PROPER(DMart_Sales_Data[[#This Row],[city]])</f>
        <v>Pune</v>
      </c>
      <c r="O124" s="17" t="s">
        <v>26</v>
      </c>
      <c r="P124" s="66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25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10" t="str">
        <f>IF(DMart_Sales_Data[[#This Row],[sales]]&gt;=3000,"High Sales",IF(DMart_Sales_Data[[#This Row],[sales]]&gt;=1000,"Medium Sales",IF(DMart_Sales_Data[[#This Row],[sales]]&lt;1000,"Low Sales")))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5" t="str">
        <f>PROPER(DMart_Sales_Data[[#This Row],[city]])</f>
        <v>Hyderabad</v>
      </c>
      <c r="O125" s="12" t="s">
        <v>34</v>
      </c>
      <c r="P125" s="66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25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15" t="str">
        <f>IF(DMart_Sales_Data[[#This Row],[sales]]&gt;=3000,"High Sales",IF(DMart_Sales_Data[[#This Row],[sales]]&gt;=1000,"Medium Sales",IF(DMart_Sales_Data[[#This Row],[sales]]&lt;1000,"Low Sales")))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5" t="str">
        <f>PROPER(DMart_Sales_Data[[#This Row],[city]])</f>
        <v>Hyderabad</v>
      </c>
      <c r="O126" s="17" t="s">
        <v>29</v>
      </c>
      <c r="P126" s="66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25">
      <c r="A127" s="8" t="s">
        <v>168</v>
      </c>
      <c r="B127" s="9" t="s">
        <v>575</v>
      </c>
      <c r="C127" s="4" t="s">
        <v>575</v>
      </c>
      <c r="D127" s="10" t="s">
        <v>36</v>
      </c>
      <c r="E127" s="10">
        <v>3592.12</v>
      </c>
      <c r="F127" s="10" t="str">
        <f>IF(DMart_Sales_Data[[#This Row],[sales]]&gt;=3000,"High Sales",IF(DMart_Sales_Data[[#This Row],[sales]]&gt;=1000,"Medium Sales",IF(DMart_Sales_Data[[#This Row],[sales]]&lt;1000,"Low Sales")))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5" t="str">
        <f>PROPER(DMart_Sales_Data[[#This Row],[city]])</f>
        <v>Chennai</v>
      </c>
      <c r="O127" s="12" t="s">
        <v>67</v>
      </c>
      <c r="P127" s="66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25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15" t="str">
        <f>IF(DMart_Sales_Data[[#This Row],[sales]]&gt;=3000,"High Sales",IF(DMart_Sales_Data[[#This Row],[sales]]&gt;=1000,"Medium Sales",IF(DMart_Sales_Data[[#This Row],[sales]]&lt;1000,"Low Sales")))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5" t="str">
        <f>PROPER(DMart_Sales_Data[[#This Row],[city]])</f>
        <v>Mumbai</v>
      </c>
      <c r="O128" s="17" t="s">
        <v>21</v>
      </c>
      <c r="P128" s="66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25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10" t="str">
        <f>IF(DMart_Sales_Data[[#This Row],[sales]]&gt;=3000,"High Sales",IF(DMart_Sales_Data[[#This Row],[sales]]&gt;=1000,"Medium Sales",IF(DMart_Sales_Data[[#This Row],[sales]]&lt;1000,"Low Sales")))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5" t="str">
        <f>PROPER(DMart_Sales_Data[[#This Row],[city]])</f>
        <v>Pune</v>
      </c>
      <c r="O129" s="12" t="s">
        <v>26</v>
      </c>
      <c r="P129" s="66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25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15" t="str">
        <f>IF(DMart_Sales_Data[[#This Row],[sales]]&gt;=3000,"High Sales",IF(DMart_Sales_Data[[#This Row],[sales]]&gt;=1000,"Medium Sales",IF(DMart_Sales_Data[[#This Row],[sales]]&lt;1000,"Low Sales")))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5" t="str">
        <f>PROPER(DMart_Sales_Data[[#This Row],[city]])</f>
        <v>Pune</v>
      </c>
      <c r="O130" s="17" t="s">
        <v>38</v>
      </c>
      <c r="P130" s="66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25">
      <c r="A131" s="8" t="s">
        <v>172</v>
      </c>
      <c r="B131" s="9" t="s">
        <v>575</v>
      </c>
      <c r="C131" s="4" t="s">
        <v>575</v>
      </c>
      <c r="D131" s="10" t="s">
        <v>18</v>
      </c>
      <c r="E131" s="10">
        <v>3253.32</v>
      </c>
      <c r="F131" s="10" t="str">
        <f>IF(DMart_Sales_Data[[#This Row],[sales]]&gt;=3000,"High Sales",IF(DMart_Sales_Data[[#This Row],[sales]]&gt;=1000,"Medium Sales",IF(DMart_Sales_Data[[#This Row],[sales]]&lt;1000,"Low Sales")))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5" t="str">
        <f>PROPER(DMart_Sales_Data[[#This Row],[city]])</f>
        <v>Bangalore</v>
      </c>
      <c r="O131" s="12" t="s">
        <v>16</v>
      </c>
      <c r="P131" s="66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25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15" t="str">
        <f>IF(DMart_Sales_Data[[#This Row],[sales]]&gt;=3000,"High Sales",IF(DMart_Sales_Data[[#This Row],[sales]]&gt;=1000,"Medium Sales",IF(DMart_Sales_Data[[#This Row],[sales]]&lt;1000,"Low Sales")))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5" t="str">
        <f>PROPER(DMart_Sales_Data[[#This Row],[city]])</f>
        <v>Hyderabad</v>
      </c>
      <c r="O132" s="17" t="s">
        <v>34</v>
      </c>
      <c r="P132" s="66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25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10" t="str">
        <f>IF(DMart_Sales_Data[[#This Row],[sales]]&gt;=3000,"High Sales",IF(DMart_Sales_Data[[#This Row],[sales]]&gt;=1000,"Medium Sales",IF(DMart_Sales_Data[[#This Row],[sales]]&lt;1000,"Low Sales")))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5" t="str">
        <f>PROPER(DMart_Sales_Data[[#This Row],[city]])</f>
        <v>Chennai</v>
      </c>
      <c r="O133" s="12" t="s">
        <v>67</v>
      </c>
      <c r="P133" s="66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25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15" t="str">
        <f>IF(DMart_Sales_Data[[#This Row],[sales]]&gt;=3000,"High Sales",IF(DMart_Sales_Data[[#This Row],[sales]]&gt;=1000,"Medium Sales",IF(DMart_Sales_Data[[#This Row],[sales]]&lt;1000,"Low Sales")))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5" t="str">
        <f>PROPER(DMart_Sales_Data[[#This Row],[city]])</f>
        <v>Bangalore</v>
      </c>
      <c r="O134" s="17" t="s">
        <v>51</v>
      </c>
      <c r="P134" s="66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25">
      <c r="A135" s="8" t="s">
        <v>176</v>
      </c>
      <c r="B135" s="9" t="s">
        <v>575</v>
      </c>
      <c r="C135" s="4" t="s">
        <v>575</v>
      </c>
      <c r="D135" s="10" t="s">
        <v>36</v>
      </c>
      <c r="E135" s="10">
        <v>2042.08</v>
      </c>
      <c r="F135" s="10" t="str">
        <f>IF(DMart_Sales_Data[[#This Row],[sales]]&gt;=3000,"High Sales",IF(DMart_Sales_Data[[#This Row],[sales]]&gt;=1000,"Medium Sales",IF(DMart_Sales_Data[[#This Row],[sales]]&lt;1000,"Low Sales")))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5" t="str">
        <f>PROPER(DMart_Sales_Data[[#This Row],[city]])</f>
        <v>Bangalore</v>
      </c>
      <c r="O135" s="12" t="s">
        <v>94</v>
      </c>
      <c r="P135" s="66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25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15" t="str">
        <f>IF(DMart_Sales_Data[[#This Row],[sales]]&gt;=3000,"High Sales",IF(DMart_Sales_Data[[#This Row],[sales]]&gt;=1000,"Medium Sales",IF(DMart_Sales_Data[[#This Row],[sales]]&lt;1000,"Low Sales")))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5" t="str">
        <f>PROPER(DMart_Sales_Data[[#This Row],[city]])</f>
        <v>Chennai</v>
      </c>
      <c r="O136" s="17" t="s">
        <v>43</v>
      </c>
      <c r="P136" s="66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25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10" t="str">
        <f>IF(DMart_Sales_Data[[#This Row],[sales]]&gt;=3000,"High Sales",IF(DMart_Sales_Data[[#This Row],[sales]]&gt;=1000,"Medium Sales",IF(DMart_Sales_Data[[#This Row],[sales]]&lt;1000,"Low Sales")))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5" t="str">
        <f>PROPER(DMart_Sales_Data[[#This Row],[city]])</f>
        <v>Chennai</v>
      </c>
      <c r="O137" s="12" t="s">
        <v>43</v>
      </c>
      <c r="P137" s="66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25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15" t="str">
        <f>IF(DMart_Sales_Data[[#This Row],[sales]]&gt;=3000,"High Sales",IF(DMart_Sales_Data[[#This Row],[sales]]&gt;=1000,"Medium Sales",IF(DMart_Sales_Data[[#This Row],[sales]]&lt;1000,"Low Sales")))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5" t="str">
        <f>PROPER(DMart_Sales_Data[[#This Row],[city]])</f>
        <v>Pune</v>
      </c>
      <c r="O138" s="17" t="s">
        <v>38</v>
      </c>
      <c r="P138" s="66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25">
      <c r="A139" s="8" t="s">
        <v>180</v>
      </c>
      <c r="B139" s="9" t="s">
        <v>575</v>
      </c>
      <c r="C139" s="4" t="s">
        <v>575</v>
      </c>
      <c r="D139" s="10" t="s">
        <v>24</v>
      </c>
      <c r="E139" s="10">
        <v>3818.9</v>
      </c>
      <c r="F139" s="10" t="str">
        <f>IF(DMart_Sales_Data[[#This Row],[sales]]&gt;=3000,"High Sales",IF(DMart_Sales_Data[[#This Row],[sales]]&gt;=1000,"Medium Sales",IF(DMart_Sales_Data[[#This Row],[sales]]&lt;1000,"Low Sales")))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5" t="str">
        <f>PROPER(DMart_Sales_Data[[#This Row],[city]])</f>
        <v>Pune</v>
      </c>
      <c r="O139" s="12" t="s">
        <v>38</v>
      </c>
      <c r="P139" s="66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25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15" t="str">
        <f>IF(DMart_Sales_Data[[#This Row],[sales]]&gt;=3000,"High Sales",IF(DMart_Sales_Data[[#This Row],[sales]]&gt;=1000,"Medium Sales",IF(DMart_Sales_Data[[#This Row],[sales]]&lt;1000,"Low Sales")))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5" t="str">
        <f>PROPER(DMart_Sales_Data[[#This Row],[city]])</f>
        <v>Pune</v>
      </c>
      <c r="O140" s="17" t="s">
        <v>38</v>
      </c>
      <c r="P140" s="66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25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10" t="str">
        <f>IF(DMart_Sales_Data[[#This Row],[sales]]&gt;=3000,"High Sales",IF(DMart_Sales_Data[[#This Row],[sales]]&gt;=1000,"Medium Sales",IF(DMart_Sales_Data[[#This Row],[sales]]&lt;1000,"Low Sales")))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5" t="str">
        <f>PROPER(DMart_Sales_Data[[#This Row],[city]])</f>
        <v>Bangalore</v>
      </c>
      <c r="O141" s="12" t="s">
        <v>51</v>
      </c>
      <c r="P141" s="66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25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15" t="str">
        <f>IF(DMart_Sales_Data[[#This Row],[sales]]&gt;=3000,"High Sales",IF(DMart_Sales_Data[[#This Row],[sales]]&gt;=1000,"Medium Sales",IF(DMart_Sales_Data[[#This Row],[sales]]&lt;1000,"Low Sales")))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5" t="str">
        <f>PROPER(DMart_Sales_Data[[#This Row],[city]])</f>
        <v>Delhi</v>
      </c>
      <c r="O142" s="17" t="s">
        <v>64</v>
      </c>
      <c r="P142" s="66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25">
      <c r="A143" s="8" t="s">
        <v>184</v>
      </c>
      <c r="B143" s="9" t="s">
        <v>575</v>
      </c>
      <c r="C143" s="4" t="s">
        <v>575</v>
      </c>
      <c r="D143" s="10" t="s">
        <v>13</v>
      </c>
      <c r="E143" s="10">
        <v>2986.89</v>
      </c>
      <c r="F143" s="10" t="str">
        <f>IF(DMart_Sales_Data[[#This Row],[sales]]&gt;=3000,"High Sales",IF(DMart_Sales_Data[[#This Row],[sales]]&gt;=1000,"Medium Sales",IF(DMart_Sales_Data[[#This Row],[sales]]&lt;1000,"Low Sales")))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5" t="str">
        <f>PROPER(DMart_Sales_Data[[#This Row],[city]])</f>
        <v>Chennai</v>
      </c>
      <c r="O143" s="12" t="s">
        <v>67</v>
      </c>
      <c r="P143" s="66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25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5" t="str">
        <f>PROPER(DMart_Sales_Data[[#This Row],[city]])</f>
        <v>Delhi</v>
      </c>
      <c r="O144" s="17" t="s">
        <v>99</v>
      </c>
      <c r="P144" s="66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25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10" t="str">
        <f>IF(DMart_Sales_Data[[#This Row],[sales]]&gt;=3000,"High Sales",IF(DMart_Sales_Data[[#This Row],[sales]]&gt;=1000,"Medium Sales",IF(DMart_Sales_Data[[#This Row],[sales]]&lt;1000,"Low Sales")))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5" t="str">
        <f>PROPER(DMart_Sales_Data[[#This Row],[city]])</f>
        <v>Pune</v>
      </c>
      <c r="O145" s="12" t="s">
        <v>26</v>
      </c>
      <c r="P145" s="66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25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15" t="str">
        <f>IF(DMart_Sales_Data[[#This Row],[sales]]&gt;=3000,"High Sales",IF(DMart_Sales_Data[[#This Row],[sales]]&gt;=1000,"Medium Sales",IF(DMart_Sales_Data[[#This Row],[sales]]&lt;1000,"Low Sales")))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5" t="str">
        <f>PROPER(DMart_Sales_Data[[#This Row],[city]])</f>
        <v>Pune</v>
      </c>
      <c r="O146" s="17" t="s">
        <v>38</v>
      </c>
      <c r="P146" s="66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25">
      <c r="A147" s="8" t="s">
        <v>188</v>
      </c>
      <c r="B147" s="9" t="s">
        <v>575</v>
      </c>
      <c r="C147" s="4" t="s">
        <v>575</v>
      </c>
      <c r="D147" s="10" t="s">
        <v>33</v>
      </c>
      <c r="E147" s="10">
        <v>4537.16</v>
      </c>
      <c r="F147" s="10" t="str">
        <f>IF(DMart_Sales_Data[[#This Row],[sales]]&gt;=3000,"High Sales",IF(DMart_Sales_Data[[#This Row],[sales]]&gt;=1000,"Medium Sales",IF(DMart_Sales_Data[[#This Row],[sales]]&lt;1000,"Low Sales")))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5" t="str">
        <f>PROPER(DMart_Sales_Data[[#This Row],[city]])</f>
        <v>Pune</v>
      </c>
      <c r="O147" s="12" t="s">
        <v>26</v>
      </c>
      <c r="P147" s="66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25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15" t="str">
        <f>IF(DMart_Sales_Data[[#This Row],[sales]]&gt;=3000,"High Sales",IF(DMart_Sales_Data[[#This Row],[sales]]&gt;=1000,"Medium Sales",IF(DMart_Sales_Data[[#This Row],[sales]]&lt;1000,"Low Sales")))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5" t="str">
        <f>PROPER(DMart_Sales_Data[[#This Row],[city]])</f>
        <v>Pune</v>
      </c>
      <c r="O148" s="17" t="s">
        <v>47</v>
      </c>
      <c r="P148" s="66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25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10" t="str">
        <f>IF(DMart_Sales_Data[[#This Row],[sales]]&gt;=3000,"High Sales",IF(DMart_Sales_Data[[#This Row],[sales]]&gt;=1000,"Medium Sales",IF(DMart_Sales_Data[[#This Row],[sales]]&lt;1000,"Low Sales")))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5" t="str">
        <f>PROPER(DMart_Sales_Data[[#This Row],[city]])</f>
        <v>Bangalore</v>
      </c>
      <c r="O149" s="12" t="s">
        <v>16</v>
      </c>
      <c r="P149" s="66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25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15" t="str">
        <f>IF(DMart_Sales_Data[[#This Row],[sales]]&gt;=3000,"High Sales",IF(DMart_Sales_Data[[#This Row],[sales]]&gt;=1000,"Medium Sales",IF(DMart_Sales_Data[[#This Row],[sales]]&lt;1000,"Low Sales")))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5" t="str">
        <f>PROPER(DMart_Sales_Data[[#This Row],[city]])</f>
        <v>Chennai</v>
      </c>
      <c r="O150" s="17" t="s">
        <v>43</v>
      </c>
      <c r="P150" s="66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25">
      <c r="A151" s="8" t="s">
        <v>192</v>
      </c>
      <c r="B151" s="9" t="s">
        <v>575</v>
      </c>
      <c r="C151" s="4" t="s">
        <v>575</v>
      </c>
      <c r="D151" s="10" t="s">
        <v>24</v>
      </c>
      <c r="E151" s="10">
        <v>4451.99</v>
      </c>
      <c r="F151" s="10" t="str">
        <f>IF(DMart_Sales_Data[[#This Row],[sales]]&gt;=3000,"High Sales",IF(DMart_Sales_Data[[#This Row],[sales]]&gt;=1000,"Medium Sales",IF(DMart_Sales_Data[[#This Row],[sales]]&lt;1000,"Low Sales")))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5" t="str">
        <f>PROPER(DMart_Sales_Data[[#This Row],[city]])</f>
        <v>Pune</v>
      </c>
      <c r="O151" s="12" t="s">
        <v>26</v>
      </c>
      <c r="P151" s="66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25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15" t="str">
        <f>IF(DMart_Sales_Data[[#This Row],[sales]]&gt;=3000,"High Sales",IF(DMart_Sales_Data[[#This Row],[sales]]&gt;=1000,"Medium Sales",IF(DMart_Sales_Data[[#This Row],[sales]]&lt;1000,"Low Sales")))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5" t="str">
        <f>PROPER(DMart_Sales_Data[[#This Row],[city]])</f>
        <v>Bangalore</v>
      </c>
      <c r="O152" s="17" t="s">
        <v>94</v>
      </c>
      <c r="P152" s="66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25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10" t="str">
        <f>IF(DMart_Sales_Data[[#This Row],[sales]]&gt;=3000,"High Sales",IF(DMart_Sales_Data[[#This Row],[sales]]&gt;=1000,"Medium Sales",IF(DMart_Sales_Data[[#This Row],[sales]]&lt;1000,"Low Sales")))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5" t="str">
        <f>PROPER(DMart_Sales_Data[[#This Row],[city]])</f>
        <v>Chennai</v>
      </c>
      <c r="O153" s="12" t="s">
        <v>67</v>
      </c>
      <c r="P153" s="66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25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15" t="str">
        <f>IF(DMart_Sales_Data[[#This Row],[sales]]&gt;=3000,"High Sales",IF(DMart_Sales_Data[[#This Row],[sales]]&gt;=1000,"Medium Sales",IF(DMart_Sales_Data[[#This Row],[sales]]&lt;1000,"Low Sales")))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5" t="str">
        <f>PROPER(DMart_Sales_Data[[#This Row],[city]])</f>
        <v>Chennai</v>
      </c>
      <c r="O154" s="17" t="s">
        <v>43</v>
      </c>
      <c r="P154" s="66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25">
      <c r="A155" s="8" t="s">
        <v>196</v>
      </c>
      <c r="B155" s="9" t="s">
        <v>575</v>
      </c>
      <c r="C155" s="4" t="s">
        <v>575</v>
      </c>
      <c r="D155" s="10" t="s">
        <v>13</v>
      </c>
      <c r="E155" s="10">
        <v>2704.37</v>
      </c>
      <c r="F15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5" t="str">
        <f>PROPER(DMart_Sales_Data[[#This Row],[city]])</f>
        <v>Bangalore</v>
      </c>
      <c r="O155" s="12" t="s">
        <v>51</v>
      </c>
      <c r="P155" s="66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25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15" t="str">
        <f>IF(DMart_Sales_Data[[#This Row],[sales]]&gt;=3000,"High Sales",IF(DMart_Sales_Data[[#This Row],[sales]]&gt;=1000,"Medium Sales",IF(DMart_Sales_Data[[#This Row],[sales]]&lt;1000,"Low Sales")))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5" t="str">
        <f>PROPER(DMart_Sales_Data[[#This Row],[city]])</f>
        <v>Bangalore</v>
      </c>
      <c r="O156" s="17" t="s">
        <v>94</v>
      </c>
      <c r="P156" s="66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25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10" t="str">
        <f>IF(DMart_Sales_Data[[#This Row],[sales]]&gt;=3000,"High Sales",IF(DMart_Sales_Data[[#This Row],[sales]]&gt;=1000,"Medium Sales",IF(DMart_Sales_Data[[#This Row],[sales]]&lt;1000,"Low Sales")))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5" t="str">
        <f>PROPER(DMart_Sales_Data[[#This Row],[city]])</f>
        <v>Mumbai</v>
      </c>
      <c r="O157" s="12" t="s">
        <v>21</v>
      </c>
      <c r="P157" s="66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25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15" t="str">
        <f>IF(DMart_Sales_Data[[#This Row],[sales]]&gt;=3000,"High Sales",IF(DMart_Sales_Data[[#This Row],[sales]]&gt;=1000,"Medium Sales",IF(DMart_Sales_Data[[#This Row],[sales]]&lt;1000,"Low Sales")))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5" t="str">
        <f>PROPER(DMart_Sales_Data[[#This Row],[city]])</f>
        <v>Chennai</v>
      </c>
      <c r="O158" s="17" t="s">
        <v>43</v>
      </c>
      <c r="P158" s="66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25">
      <c r="A159" s="8" t="s">
        <v>200</v>
      </c>
      <c r="B159" s="9" t="s">
        <v>575</v>
      </c>
      <c r="C159" s="4" t="s">
        <v>575</v>
      </c>
      <c r="D159" s="10" t="s">
        <v>13</v>
      </c>
      <c r="E159" s="10">
        <v>2697.46</v>
      </c>
      <c r="F159" s="10" t="str">
        <f>IF(DMart_Sales_Data[[#This Row],[sales]]&gt;=3000,"High Sales",IF(DMart_Sales_Data[[#This Row],[sales]]&gt;=1000,"Medium Sales",IF(DMart_Sales_Data[[#This Row],[sales]]&lt;1000,"Low Sales")))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5" t="str">
        <f>PROPER(DMart_Sales_Data[[#This Row],[city]])</f>
        <v>Mumbai</v>
      </c>
      <c r="O159" s="12" t="s">
        <v>54</v>
      </c>
      <c r="P159" s="66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25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15" t="str">
        <f>IF(DMart_Sales_Data[[#This Row],[sales]]&gt;=3000,"High Sales",IF(DMart_Sales_Data[[#This Row],[sales]]&gt;=1000,"Medium Sales",IF(DMart_Sales_Data[[#This Row],[sales]]&lt;1000,"Low Sales")))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5" t="str">
        <f>PROPER(DMart_Sales_Data[[#This Row],[city]])</f>
        <v>Mumbai</v>
      </c>
      <c r="O160" s="17" t="s">
        <v>54</v>
      </c>
      <c r="P160" s="66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25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10" t="str">
        <f>IF(DMart_Sales_Data[[#This Row],[sales]]&gt;=3000,"High Sales",IF(DMart_Sales_Data[[#This Row],[sales]]&gt;=1000,"Medium Sales",IF(DMart_Sales_Data[[#This Row],[sales]]&lt;1000,"Low Sales")))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5" t="str">
        <f>PROPER(DMart_Sales_Data[[#This Row],[city]])</f>
        <v>Pune</v>
      </c>
      <c r="O161" s="12" t="s">
        <v>47</v>
      </c>
      <c r="P161" s="66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25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15" t="str">
        <f>IF(DMart_Sales_Data[[#This Row],[sales]]&gt;=3000,"High Sales",IF(DMart_Sales_Data[[#This Row],[sales]]&gt;=1000,"Medium Sales",IF(DMart_Sales_Data[[#This Row],[sales]]&lt;1000,"Low Sales")))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5" t="str">
        <f>PROPER(DMart_Sales_Data[[#This Row],[city]])</f>
        <v>Hyderabad</v>
      </c>
      <c r="O162" s="17" t="s">
        <v>34</v>
      </c>
      <c r="P162" s="66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25">
      <c r="A163" s="8" t="s">
        <v>204</v>
      </c>
      <c r="B163" s="9" t="s">
        <v>575</v>
      </c>
      <c r="C163" s="4" t="s">
        <v>575</v>
      </c>
      <c r="D163" s="10" t="s">
        <v>33</v>
      </c>
      <c r="E163" s="10">
        <v>2125.5300000000002</v>
      </c>
      <c r="F163" s="10" t="str">
        <f>IF(DMart_Sales_Data[[#This Row],[sales]]&gt;=3000,"High Sales",IF(DMart_Sales_Data[[#This Row],[sales]]&gt;=1000,"Medium Sales",IF(DMart_Sales_Data[[#This Row],[sales]]&lt;1000,"Low Sales")))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5" t="str">
        <f>PROPER(DMart_Sales_Data[[#This Row],[city]])</f>
        <v>Hyderabad</v>
      </c>
      <c r="O163" s="12" t="s">
        <v>57</v>
      </c>
      <c r="P163" s="66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25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15" t="str">
        <f>IF(DMart_Sales_Data[[#This Row],[sales]]&gt;=3000,"High Sales",IF(DMart_Sales_Data[[#This Row],[sales]]&gt;=1000,"Medium Sales",IF(DMart_Sales_Data[[#This Row],[sales]]&lt;1000,"Low Sales")))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5" t="str">
        <f>PROPER(DMart_Sales_Data[[#This Row],[city]])</f>
        <v>Chennai</v>
      </c>
      <c r="O164" s="17" t="s">
        <v>40</v>
      </c>
      <c r="P164" s="66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25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10" t="str">
        <f>IF(DMart_Sales_Data[[#This Row],[sales]]&gt;=3000,"High Sales",IF(DMart_Sales_Data[[#This Row],[sales]]&gt;=1000,"Medium Sales",IF(DMart_Sales_Data[[#This Row],[sales]]&lt;1000,"Low Sales")))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5" t="str">
        <f>PROPER(DMart_Sales_Data[[#This Row],[city]])</f>
        <v>Hyderabad</v>
      </c>
      <c r="O165" s="12" t="s">
        <v>34</v>
      </c>
      <c r="P165" s="66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25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15" t="str">
        <f>IF(DMart_Sales_Data[[#This Row],[sales]]&gt;=3000,"High Sales",IF(DMart_Sales_Data[[#This Row],[sales]]&gt;=1000,"Medium Sales",IF(DMart_Sales_Data[[#This Row],[sales]]&lt;1000,"Low Sales")))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5" t="str">
        <f>PROPER(DMart_Sales_Data[[#This Row],[city]])</f>
        <v>Delhi</v>
      </c>
      <c r="O166" s="17" t="s">
        <v>62</v>
      </c>
      <c r="P166" s="66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25">
      <c r="A167" s="8" t="s">
        <v>208</v>
      </c>
      <c r="B167" s="9" t="s">
        <v>575</v>
      </c>
      <c r="C167" s="4" t="s">
        <v>575</v>
      </c>
      <c r="D167" s="10" t="s">
        <v>36</v>
      </c>
      <c r="E167" s="10">
        <v>4926.2700000000004</v>
      </c>
      <c r="F167" s="10" t="str">
        <f>IF(DMart_Sales_Data[[#This Row],[sales]]&gt;=3000,"High Sales",IF(DMart_Sales_Data[[#This Row],[sales]]&gt;=1000,"Medium Sales",IF(DMart_Sales_Data[[#This Row],[sales]]&lt;1000,"Low Sales")))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5" t="str">
        <f>PROPER(DMart_Sales_Data[[#This Row],[city]])</f>
        <v>Chennai</v>
      </c>
      <c r="O167" s="12" t="s">
        <v>40</v>
      </c>
      <c r="P167" s="66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25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15" t="str">
        <f>IF(DMart_Sales_Data[[#This Row],[sales]]&gt;=3000,"High Sales",IF(DMart_Sales_Data[[#This Row],[sales]]&gt;=1000,"Medium Sales",IF(DMart_Sales_Data[[#This Row],[sales]]&lt;1000,"Low Sales")))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5" t="str">
        <f>PROPER(DMart_Sales_Data[[#This Row],[city]])</f>
        <v>Mumbai</v>
      </c>
      <c r="O168" s="17" t="s">
        <v>54</v>
      </c>
      <c r="P168" s="66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25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10" t="str">
        <f>IF(DMart_Sales_Data[[#This Row],[sales]]&gt;=3000,"High Sales",IF(DMart_Sales_Data[[#This Row],[sales]]&gt;=1000,"Medium Sales",IF(DMart_Sales_Data[[#This Row],[sales]]&lt;1000,"Low Sales")))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5" t="str">
        <f>PROPER(DMart_Sales_Data[[#This Row],[city]])</f>
        <v>Chennai</v>
      </c>
      <c r="O169" s="12" t="s">
        <v>40</v>
      </c>
      <c r="P169" s="66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25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15" t="str">
        <f>IF(DMart_Sales_Data[[#This Row],[sales]]&gt;=3000,"High Sales",IF(DMart_Sales_Data[[#This Row],[sales]]&gt;=1000,"Medium Sales",IF(DMart_Sales_Data[[#This Row],[sales]]&lt;1000,"Low Sales")))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5" t="str">
        <f>PROPER(DMart_Sales_Data[[#This Row],[city]])</f>
        <v>Mumbai</v>
      </c>
      <c r="O170" s="17" t="s">
        <v>54</v>
      </c>
      <c r="P170" s="66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25">
      <c r="A171" s="8" t="s">
        <v>212</v>
      </c>
      <c r="B171" s="9" t="s">
        <v>575</v>
      </c>
      <c r="C171" s="4" t="s">
        <v>575</v>
      </c>
      <c r="D171" s="10" t="s">
        <v>24</v>
      </c>
      <c r="E171" s="10">
        <v>4516.2</v>
      </c>
      <c r="F171" s="10" t="str">
        <f>IF(DMart_Sales_Data[[#This Row],[sales]]&gt;=3000,"High Sales",IF(DMart_Sales_Data[[#This Row],[sales]]&gt;=1000,"Medium Sales",IF(DMart_Sales_Data[[#This Row],[sales]]&lt;1000,"Low Sales")))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5" t="str">
        <f>PROPER(DMart_Sales_Data[[#This Row],[city]])</f>
        <v>Mumbai</v>
      </c>
      <c r="O171" s="12" t="s">
        <v>21</v>
      </c>
      <c r="P171" s="66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25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15" t="str">
        <f>IF(DMart_Sales_Data[[#This Row],[sales]]&gt;=3000,"High Sales",IF(DMart_Sales_Data[[#This Row],[sales]]&gt;=1000,"Medium Sales",IF(DMart_Sales_Data[[#This Row],[sales]]&lt;1000,"Low Sales")))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5" t="str">
        <f>PROPER(DMart_Sales_Data[[#This Row],[city]])</f>
        <v>Chennai</v>
      </c>
      <c r="O172" s="17" t="s">
        <v>43</v>
      </c>
      <c r="P172" s="66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25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10" t="str">
        <f>IF(DMart_Sales_Data[[#This Row],[sales]]&gt;=3000,"High Sales",IF(DMart_Sales_Data[[#This Row],[sales]]&gt;=1000,"Medium Sales",IF(DMart_Sales_Data[[#This Row],[sales]]&lt;1000,"Low Sales")))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5" t="str">
        <f>PROPER(DMart_Sales_Data[[#This Row],[city]])</f>
        <v>Pune</v>
      </c>
      <c r="O173" s="12" t="s">
        <v>38</v>
      </c>
      <c r="P173" s="66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25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15" t="str">
        <f>IF(DMart_Sales_Data[[#This Row],[sales]]&gt;=3000,"High Sales",IF(DMart_Sales_Data[[#This Row],[sales]]&gt;=1000,"Medium Sales",IF(DMart_Sales_Data[[#This Row],[sales]]&lt;1000,"Low Sales")))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5" t="str">
        <f>PROPER(DMart_Sales_Data[[#This Row],[city]])</f>
        <v>Bangalore</v>
      </c>
      <c r="O174" s="17" t="s">
        <v>16</v>
      </c>
      <c r="P174" s="66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25">
      <c r="A175" s="8" t="s">
        <v>216</v>
      </c>
      <c r="B175" s="9" t="s">
        <v>575</v>
      </c>
      <c r="C175" s="4" t="s">
        <v>575</v>
      </c>
      <c r="D175" s="10" t="s">
        <v>13</v>
      </c>
      <c r="E175" s="10">
        <v>1251.98</v>
      </c>
      <c r="F175" s="10" t="str">
        <f>IF(DMart_Sales_Data[[#This Row],[sales]]&gt;=3000,"High Sales",IF(DMart_Sales_Data[[#This Row],[sales]]&gt;=1000,"Medium Sales",IF(DMart_Sales_Data[[#This Row],[sales]]&lt;1000,"Low Sales")))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5" t="str">
        <f>PROPER(DMart_Sales_Data[[#This Row],[city]])</f>
        <v>Hyderabad</v>
      </c>
      <c r="O175" s="12" t="s">
        <v>34</v>
      </c>
      <c r="P175" s="66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25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15" t="str">
        <f>IF(DMart_Sales_Data[[#This Row],[sales]]&gt;=3000,"High Sales",IF(DMart_Sales_Data[[#This Row],[sales]]&gt;=1000,"Medium Sales",IF(DMart_Sales_Data[[#This Row],[sales]]&lt;1000,"Low Sales")))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5" t="str">
        <f>PROPER(DMart_Sales_Data[[#This Row],[city]])</f>
        <v>Delhi</v>
      </c>
      <c r="O176" s="17" t="s">
        <v>62</v>
      </c>
      <c r="P176" s="66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25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5" t="str">
        <f>PROPER(DMart_Sales_Data[[#This Row],[city]])</f>
        <v>Hyderabad</v>
      </c>
      <c r="O177" s="12" t="s">
        <v>57</v>
      </c>
      <c r="P177" s="66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25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15" t="str">
        <f>IF(DMart_Sales_Data[[#This Row],[sales]]&gt;=3000,"High Sales",IF(DMart_Sales_Data[[#This Row],[sales]]&gt;=1000,"Medium Sales",IF(DMart_Sales_Data[[#This Row],[sales]]&lt;1000,"Low Sales")))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5" t="str">
        <f>PROPER(DMart_Sales_Data[[#This Row],[city]])</f>
        <v>Chennai</v>
      </c>
      <c r="O178" s="17" t="s">
        <v>40</v>
      </c>
      <c r="P178" s="66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25">
      <c r="A179" s="8" t="s">
        <v>220</v>
      </c>
      <c r="B179" s="9" t="s">
        <v>575</v>
      </c>
      <c r="C179" s="4" t="s">
        <v>575</v>
      </c>
      <c r="D179" s="10" t="s">
        <v>33</v>
      </c>
      <c r="E179" s="10">
        <v>540.72</v>
      </c>
      <c r="F179" s="10" t="str">
        <f>IF(DMart_Sales_Data[[#This Row],[sales]]&gt;=3000,"High Sales",IF(DMart_Sales_Data[[#This Row],[sales]]&gt;=1000,"Medium Sales",IF(DMart_Sales_Data[[#This Row],[sales]]&lt;1000,"Low Sales")))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5" t="str">
        <f>PROPER(DMart_Sales_Data[[#This Row],[city]])</f>
        <v>Pune</v>
      </c>
      <c r="O179" s="12" t="s">
        <v>38</v>
      </c>
      <c r="P179" s="66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25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15" t="str">
        <f>IF(DMart_Sales_Data[[#This Row],[sales]]&gt;=3000,"High Sales",IF(DMart_Sales_Data[[#This Row],[sales]]&gt;=1000,"Medium Sales",IF(DMart_Sales_Data[[#This Row],[sales]]&lt;1000,"Low Sales")))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5" t="str">
        <f>PROPER(DMart_Sales_Data[[#This Row],[city]])</f>
        <v>Pune</v>
      </c>
      <c r="O180" s="17" t="s">
        <v>26</v>
      </c>
      <c r="P180" s="66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25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10" t="str">
        <f>IF(DMart_Sales_Data[[#This Row],[sales]]&gt;=3000,"High Sales",IF(DMart_Sales_Data[[#This Row],[sales]]&gt;=1000,"Medium Sales",IF(DMart_Sales_Data[[#This Row],[sales]]&lt;1000,"Low Sales")))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5" t="str">
        <f>PROPER(DMart_Sales_Data[[#This Row],[city]])</f>
        <v>Bangalore</v>
      </c>
      <c r="O181" s="12" t="s">
        <v>94</v>
      </c>
      <c r="P181" s="66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25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15" t="str">
        <f>IF(DMart_Sales_Data[[#This Row],[sales]]&gt;=3000,"High Sales",IF(DMart_Sales_Data[[#This Row],[sales]]&gt;=1000,"Medium Sales",IF(DMart_Sales_Data[[#This Row],[sales]]&lt;1000,"Low Sales")))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5" t="str">
        <f>PROPER(DMart_Sales_Data[[#This Row],[city]])</f>
        <v>Delhi</v>
      </c>
      <c r="O182" s="17" t="s">
        <v>64</v>
      </c>
      <c r="P182" s="66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25">
      <c r="A183" s="8" t="s">
        <v>224</v>
      </c>
      <c r="B183" s="9" t="s">
        <v>575</v>
      </c>
      <c r="C183" s="4" t="s">
        <v>575</v>
      </c>
      <c r="D183" s="10" t="s">
        <v>33</v>
      </c>
      <c r="E183" s="10">
        <v>3913.59</v>
      </c>
      <c r="F183" s="10" t="str">
        <f>IF(DMart_Sales_Data[[#This Row],[sales]]&gt;=3000,"High Sales",IF(DMart_Sales_Data[[#This Row],[sales]]&gt;=1000,"Medium Sales",IF(DMart_Sales_Data[[#This Row],[sales]]&lt;1000,"Low Sales")))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5" t="str">
        <f>PROPER(DMart_Sales_Data[[#This Row],[city]])</f>
        <v>Chennai</v>
      </c>
      <c r="O183" s="12" t="s">
        <v>43</v>
      </c>
      <c r="P183" s="66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25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15" t="str">
        <f>IF(DMart_Sales_Data[[#This Row],[sales]]&gt;=3000,"High Sales",IF(DMart_Sales_Data[[#This Row],[sales]]&gt;=1000,"Medium Sales",IF(DMart_Sales_Data[[#This Row],[sales]]&lt;1000,"Low Sales")))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5" t="str">
        <f>PROPER(DMart_Sales_Data[[#This Row],[city]])</f>
        <v>Bangalore</v>
      </c>
      <c r="O184" s="17" t="s">
        <v>51</v>
      </c>
      <c r="P184" s="66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25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10" t="str">
        <f>IF(DMart_Sales_Data[[#This Row],[sales]]&gt;=3000,"High Sales",IF(DMart_Sales_Data[[#This Row],[sales]]&gt;=1000,"Medium Sales",IF(DMart_Sales_Data[[#This Row],[sales]]&lt;1000,"Low Sales")))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5" t="str">
        <f>PROPER(DMart_Sales_Data[[#This Row],[city]])</f>
        <v>Delhi</v>
      </c>
      <c r="O185" s="12" t="s">
        <v>64</v>
      </c>
      <c r="P185" s="66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25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15" t="str">
        <f>IF(DMart_Sales_Data[[#This Row],[sales]]&gt;=3000,"High Sales",IF(DMart_Sales_Data[[#This Row],[sales]]&gt;=1000,"Medium Sales",IF(DMart_Sales_Data[[#This Row],[sales]]&lt;1000,"Low Sales")))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5" t="str">
        <f>PROPER(DMart_Sales_Data[[#This Row],[city]])</f>
        <v>Hyderabad</v>
      </c>
      <c r="O186" s="17" t="s">
        <v>57</v>
      </c>
      <c r="P186" s="66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25">
      <c r="A187" s="8" t="s">
        <v>228</v>
      </c>
      <c r="B187" s="9" t="s">
        <v>575</v>
      </c>
      <c r="C187" s="4" t="s">
        <v>575</v>
      </c>
      <c r="D187" s="10" t="s">
        <v>24</v>
      </c>
      <c r="E187" s="10">
        <v>3113.57</v>
      </c>
      <c r="F187" s="10" t="str">
        <f>IF(DMart_Sales_Data[[#This Row],[sales]]&gt;=3000,"High Sales",IF(DMart_Sales_Data[[#This Row],[sales]]&gt;=1000,"Medium Sales",IF(DMart_Sales_Data[[#This Row],[sales]]&lt;1000,"Low Sales")))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5" t="str">
        <f>PROPER(DMart_Sales_Data[[#This Row],[city]])</f>
        <v>Pune</v>
      </c>
      <c r="O187" s="12" t="s">
        <v>47</v>
      </c>
      <c r="P187" s="66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25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15" t="str">
        <f>IF(DMart_Sales_Data[[#This Row],[sales]]&gt;=3000,"High Sales",IF(DMart_Sales_Data[[#This Row],[sales]]&gt;=1000,"Medium Sales",IF(DMart_Sales_Data[[#This Row],[sales]]&lt;1000,"Low Sales")))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5" t="str">
        <f>PROPER(DMart_Sales_Data[[#This Row],[city]])</f>
        <v>Delhi</v>
      </c>
      <c r="O188" s="17" t="s">
        <v>62</v>
      </c>
      <c r="P188" s="66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25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10" t="str">
        <f>IF(DMart_Sales_Data[[#This Row],[sales]]&gt;=3000,"High Sales",IF(DMart_Sales_Data[[#This Row],[sales]]&gt;=1000,"Medium Sales",IF(DMart_Sales_Data[[#This Row],[sales]]&lt;1000,"Low Sales")))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5" t="str">
        <f>PROPER(DMart_Sales_Data[[#This Row],[city]])</f>
        <v>Delhi</v>
      </c>
      <c r="O189" s="12" t="s">
        <v>64</v>
      </c>
      <c r="P189" s="66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25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15" t="str">
        <f>IF(DMart_Sales_Data[[#This Row],[sales]]&gt;=3000,"High Sales",IF(DMart_Sales_Data[[#This Row],[sales]]&gt;=1000,"Medium Sales",IF(DMart_Sales_Data[[#This Row],[sales]]&lt;1000,"Low Sales")))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5" t="str">
        <f>PROPER(DMart_Sales_Data[[#This Row],[city]])</f>
        <v>Pune</v>
      </c>
      <c r="O190" s="17" t="s">
        <v>26</v>
      </c>
      <c r="P190" s="66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25">
      <c r="A191" s="8" t="s">
        <v>232</v>
      </c>
      <c r="B191" s="9" t="s">
        <v>575</v>
      </c>
      <c r="C191" s="4" t="s">
        <v>575</v>
      </c>
      <c r="D191" s="10" t="s">
        <v>13</v>
      </c>
      <c r="E191" s="10">
        <v>490.22</v>
      </c>
      <c r="F191" s="10" t="str">
        <f>IF(DMart_Sales_Data[[#This Row],[sales]]&gt;=3000,"High Sales",IF(DMart_Sales_Data[[#This Row],[sales]]&gt;=1000,"Medium Sales",IF(DMart_Sales_Data[[#This Row],[sales]]&lt;1000,"Low Sales")))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5" t="str">
        <f>PROPER(DMart_Sales_Data[[#This Row],[city]])</f>
        <v>Hyderabad</v>
      </c>
      <c r="O191" s="12" t="s">
        <v>57</v>
      </c>
      <c r="P191" s="66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25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15" t="str">
        <f>IF(DMart_Sales_Data[[#This Row],[sales]]&gt;=3000,"High Sales",IF(DMart_Sales_Data[[#This Row],[sales]]&gt;=1000,"Medium Sales",IF(DMart_Sales_Data[[#This Row],[sales]]&lt;1000,"Low Sales")))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5" t="str">
        <f>PROPER(DMart_Sales_Data[[#This Row],[city]])</f>
        <v>Delhi</v>
      </c>
      <c r="O192" s="17" t="s">
        <v>64</v>
      </c>
      <c r="P192" s="66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25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10" t="str">
        <f>IF(DMart_Sales_Data[[#This Row],[sales]]&gt;=3000,"High Sales",IF(DMart_Sales_Data[[#This Row],[sales]]&gt;=1000,"Medium Sales",IF(DMart_Sales_Data[[#This Row],[sales]]&lt;1000,"Low Sales")))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5" t="str">
        <f>PROPER(DMart_Sales_Data[[#This Row],[city]])</f>
        <v>Pune</v>
      </c>
      <c r="O193" s="12" t="s">
        <v>26</v>
      </c>
      <c r="P193" s="66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25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15" t="str">
        <f>IF(DMart_Sales_Data[[#This Row],[sales]]&gt;=3000,"High Sales",IF(DMart_Sales_Data[[#This Row],[sales]]&gt;=1000,"Medium Sales",IF(DMart_Sales_Data[[#This Row],[sales]]&lt;1000,"Low Sales")))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5" t="str">
        <f>PROPER(DMart_Sales_Data[[#This Row],[city]])</f>
        <v>Chennai</v>
      </c>
      <c r="O194" s="17" t="s">
        <v>67</v>
      </c>
      <c r="P194" s="66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25">
      <c r="A195" s="8" t="s">
        <v>236</v>
      </c>
      <c r="B195" s="9" t="s">
        <v>575</v>
      </c>
      <c r="C195" s="4" t="s">
        <v>575</v>
      </c>
      <c r="D195" s="10" t="s">
        <v>18</v>
      </c>
      <c r="E195" s="10">
        <v>1009.51</v>
      </c>
      <c r="F195" s="10" t="str">
        <f>IF(DMart_Sales_Data[[#This Row],[sales]]&gt;=3000,"High Sales",IF(DMart_Sales_Data[[#This Row],[sales]]&gt;=1000,"Medium Sales",IF(DMart_Sales_Data[[#This Row],[sales]]&lt;1000,"Low Sales")))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5" t="str">
        <f>PROPER(DMart_Sales_Data[[#This Row],[city]])</f>
        <v>Bangalore</v>
      </c>
      <c r="O195" s="12" t="s">
        <v>16</v>
      </c>
      <c r="P195" s="66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25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15" t="str">
        <f>IF(DMart_Sales_Data[[#This Row],[sales]]&gt;=3000,"High Sales",IF(DMart_Sales_Data[[#This Row],[sales]]&gt;=1000,"Medium Sales",IF(DMart_Sales_Data[[#This Row],[sales]]&lt;1000,"Low Sales")))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5" t="str">
        <f>PROPER(DMart_Sales_Data[[#This Row],[city]])</f>
        <v>Delhi</v>
      </c>
      <c r="O196" s="17" t="s">
        <v>64</v>
      </c>
      <c r="P196" s="66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25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10" t="str">
        <f>IF(DMart_Sales_Data[[#This Row],[sales]]&gt;=3000,"High Sales",IF(DMart_Sales_Data[[#This Row],[sales]]&gt;=1000,"Medium Sales",IF(DMart_Sales_Data[[#This Row],[sales]]&lt;1000,"Low Sales")))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5" t="str">
        <f>PROPER(DMart_Sales_Data[[#This Row],[city]])</f>
        <v>Pune</v>
      </c>
      <c r="O197" s="12" t="s">
        <v>38</v>
      </c>
      <c r="P197" s="66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25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15" t="str">
        <f>IF(DMart_Sales_Data[[#This Row],[sales]]&gt;=3000,"High Sales",IF(DMart_Sales_Data[[#This Row],[sales]]&gt;=1000,"Medium Sales",IF(DMart_Sales_Data[[#This Row],[sales]]&lt;1000,"Low Sales")))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5" t="str">
        <f>PROPER(DMart_Sales_Data[[#This Row],[city]])</f>
        <v>Bangalore</v>
      </c>
      <c r="O198" s="17" t="s">
        <v>51</v>
      </c>
      <c r="P198" s="66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25">
      <c r="A199" s="8" t="s">
        <v>240</v>
      </c>
      <c r="B199" s="9" t="s">
        <v>575</v>
      </c>
      <c r="C199" s="4" t="s">
        <v>575</v>
      </c>
      <c r="D199" s="10" t="s">
        <v>24</v>
      </c>
      <c r="E199" s="10">
        <v>1266.33</v>
      </c>
      <c r="F199" s="10" t="str">
        <f>IF(DMart_Sales_Data[[#This Row],[sales]]&gt;=3000,"High Sales",IF(DMart_Sales_Data[[#This Row],[sales]]&gt;=1000,"Medium Sales",IF(DMart_Sales_Data[[#This Row],[sales]]&lt;1000,"Low Sales")))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5" t="str">
        <f>PROPER(DMart_Sales_Data[[#This Row],[city]])</f>
        <v>Mumbai</v>
      </c>
      <c r="O199" s="12" t="s">
        <v>78</v>
      </c>
      <c r="P199" s="66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25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15" t="str">
        <f>IF(DMart_Sales_Data[[#This Row],[sales]]&gt;=3000,"High Sales",IF(DMart_Sales_Data[[#This Row],[sales]]&gt;=1000,"Medium Sales",IF(DMart_Sales_Data[[#This Row],[sales]]&lt;1000,"Low Sales")))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5" t="str">
        <f>PROPER(DMart_Sales_Data[[#This Row],[city]])</f>
        <v>Hyderabad</v>
      </c>
      <c r="O200" s="17" t="s">
        <v>29</v>
      </c>
      <c r="P200" s="66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25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10" t="str">
        <f>IF(DMart_Sales_Data[[#This Row],[sales]]&gt;=3000,"High Sales",IF(DMart_Sales_Data[[#This Row],[sales]]&gt;=1000,"Medium Sales",IF(DMart_Sales_Data[[#This Row],[sales]]&lt;1000,"Low Sales")))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5" t="str">
        <f>PROPER(DMart_Sales_Data[[#This Row],[city]])</f>
        <v>Chennai</v>
      </c>
      <c r="O201" s="12" t="s">
        <v>40</v>
      </c>
      <c r="P201" s="66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25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15" t="str">
        <f>IF(DMart_Sales_Data[[#This Row],[sales]]&gt;=3000,"High Sales",IF(DMart_Sales_Data[[#This Row],[sales]]&gt;=1000,"Medium Sales",IF(DMart_Sales_Data[[#This Row],[sales]]&lt;1000,"Low Sales")))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5" t="str">
        <f>PROPER(DMart_Sales_Data[[#This Row],[city]])</f>
        <v>Chennai</v>
      </c>
      <c r="O202" s="17" t="s">
        <v>67</v>
      </c>
      <c r="P202" s="66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25">
      <c r="A203" s="8" t="s">
        <v>244</v>
      </c>
      <c r="B203" s="9" t="s">
        <v>575</v>
      </c>
      <c r="C203" s="4" t="s">
        <v>575</v>
      </c>
      <c r="D203" s="10" t="s">
        <v>24</v>
      </c>
      <c r="E203" s="10">
        <v>1606.15</v>
      </c>
      <c r="F203" s="10" t="str">
        <f>IF(DMart_Sales_Data[[#This Row],[sales]]&gt;=3000,"High Sales",IF(DMart_Sales_Data[[#This Row],[sales]]&gt;=1000,"Medium Sales",IF(DMart_Sales_Data[[#This Row],[sales]]&lt;1000,"Low Sales")))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5" t="str">
        <f>PROPER(DMart_Sales_Data[[#This Row],[city]])</f>
        <v>Delhi</v>
      </c>
      <c r="O203" s="12" t="s">
        <v>99</v>
      </c>
      <c r="P203" s="66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25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15" t="str">
        <f>IF(DMart_Sales_Data[[#This Row],[sales]]&gt;=3000,"High Sales",IF(DMart_Sales_Data[[#This Row],[sales]]&gt;=1000,"Medium Sales",IF(DMart_Sales_Data[[#This Row],[sales]]&lt;1000,"Low Sales")))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5" t="str">
        <f>PROPER(DMart_Sales_Data[[#This Row],[city]])</f>
        <v>Mumbai</v>
      </c>
      <c r="O204" s="17" t="s">
        <v>21</v>
      </c>
      <c r="P204" s="66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25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10" t="str">
        <f>IF(DMart_Sales_Data[[#This Row],[sales]]&gt;=3000,"High Sales",IF(DMart_Sales_Data[[#This Row],[sales]]&gt;=1000,"Medium Sales",IF(DMart_Sales_Data[[#This Row],[sales]]&lt;1000,"Low Sales")))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5" t="str">
        <f>PROPER(DMart_Sales_Data[[#This Row],[city]])</f>
        <v>Bangalore</v>
      </c>
      <c r="O205" s="12" t="s">
        <v>51</v>
      </c>
      <c r="P205" s="66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25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15" t="str">
        <f>IF(DMart_Sales_Data[[#This Row],[sales]]&gt;=3000,"High Sales",IF(DMart_Sales_Data[[#This Row],[sales]]&gt;=1000,"Medium Sales",IF(DMart_Sales_Data[[#This Row],[sales]]&lt;1000,"Low Sales")))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5" t="str">
        <f>PROPER(DMart_Sales_Data[[#This Row],[city]])</f>
        <v>Delhi</v>
      </c>
      <c r="O206" s="17" t="s">
        <v>64</v>
      </c>
      <c r="P206" s="66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25">
      <c r="A207" s="8" t="s">
        <v>248</v>
      </c>
      <c r="B207" s="9" t="s">
        <v>575</v>
      </c>
      <c r="C207" s="4" t="s">
        <v>575</v>
      </c>
      <c r="D207" s="10" t="s">
        <v>24</v>
      </c>
      <c r="E207" s="10">
        <v>4644.28</v>
      </c>
      <c r="F207" s="10" t="str">
        <f>IF(DMart_Sales_Data[[#This Row],[sales]]&gt;=3000,"High Sales",IF(DMart_Sales_Data[[#This Row],[sales]]&gt;=1000,"Medium Sales",IF(DMart_Sales_Data[[#This Row],[sales]]&lt;1000,"Low Sales")))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5" t="str">
        <f>PROPER(DMart_Sales_Data[[#This Row],[city]])</f>
        <v>Delhi</v>
      </c>
      <c r="O207" s="12" t="s">
        <v>62</v>
      </c>
      <c r="P207" s="66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25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15" t="str">
        <f>IF(DMart_Sales_Data[[#This Row],[sales]]&gt;=3000,"High Sales",IF(DMart_Sales_Data[[#This Row],[sales]]&gt;=1000,"Medium Sales",IF(DMart_Sales_Data[[#This Row],[sales]]&lt;1000,"Low Sales")))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5" t="str">
        <f>PROPER(DMart_Sales_Data[[#This Row],[city]])</f>
        <v>Chennai</v>
      </c>
      <c r="O208" s="17" t="s">
        <v>67</v>
      </c>
      <c r="P208" s="66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25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10" t="str">
        <f>IF(DMart_Sales_Data[[#This Row],[sales]]&gt;=3000,"High Sales",IF(DMart_Sales_Data[[#This Row],[sales]]&gt;=1000,"Medium Sales",IF(DMart_Sales_Data[[#This Row],[sales]]&lt;1000,"Low Sales")))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5" t="str">
        <f>PROPER(DMart_Sales_Data[[#This Row],[city]])</f>
        <v>Pune</v>
      </c>
      <c r="O209" s="12" t="s">
        <v>47</v>
      </c>
      <c r="P209" s="66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25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15" t="str">
        <f>IF(DMart_Sales_Data[[#This Row],[sales]]&gt;=3000,"High Sales",IF(DMart_Sales_Data[[#This Row],[sales]]&gt;=1000,"Medium Sales",IF(DMart_Sales_Data[[#This Row],[sales]]&lt;1000,"Low Sales")))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5" t="str">
        <f>PROPER(DMart_Sales_Data[[#This Row],[city]])</f>
        <v>Pune</v>
      </c>
      <c r="O210" s="17" t="s">
        <v>38</v>
      </c>
      <c r="P210" s="66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25">
      <c r="A211" s="8" t="s">
        <v>252</v>
      </c>
      <c r="B211" s="9" t="s">
        <v>575</v>
      </c>
      <c r="C211" s="4" t="s">
        <v>575</v>
      </c>
      <c r="D211" s="10" t="s">
        <v>33</v>
      </c>
      <c r="E211" s="10">
        <v>3382.18</v>
      </c>
      <c r="F211" s="10" t="str">
        <f>IF(DMart_Sales_Data[[#This Row],[sales]]&gt;=3000,"High Sales",IF(DMart_Sales_Data[[#This Row],[sales]]&gt;=1000,"Medium Sales",IF(DMart_Sales_Data[[#This Row],[sales]]&lt;1000,"Low Sales")))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5" t="str">
        <f>PROPER(DMart_Sales_Data[[#This Row],[city]])</f>
        <v>Bangalore</v>
      </c>
      <c r="O211" s="12" t="s">
        <v>16</v>
      </c>
      <c r="P211" s="66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25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15" t="str">
        <f>IF(DMart_Sales_Data[[#This Row],[sales]]&gt;=3000,"High Sales",IF(DMart_Sales_Data[[#This Row],[sales]]&gt;=1000,"Medium Sales",IF(DMart_Sales_Data[[#This Row],[sales]]&lt;1000,"Low Sales")))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5" t="str">
        <f>PROPER(DMart_Sales_Data[[#This Row],[city]])</f>
        <v>Delhi</v>
      </c>
      <c r="O212" s="17" t="s">
        <v>64</v>
      </c>
      <c r="P212" s="66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25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10" t="str">
        <f>IF(DMart_Sales_Data[[#This Row],[sales]]&gt;=3000,"High Sales",IF(DMart_Sales_Data[[#This Row],[sales]]&gt;=1000,"Medium Sales",IF(DMart_Sales_Data[[#This Row],[sales]]&lt;1000,"Low Sales")))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5" t="str">
        <f>PROPER(DMart_Sales_Data[[#This Row],[city]])</f>
        <v>Delhi</v>
      </c>
      <c r="O213" s="12" t="s">
        <v>99</v>
      </c>
      <c r="P213" s="66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25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15" t="str">
        <f>IF(DMart_Sales_Data[[#This Row],[sales]]&gt;=3000,"High Sales",IF(DMart_Sales_Data[[#This Row],[sales]]&gt;=1000,"Medium Sales",IF(DMart_Sales_Data[[#This Row],[sales]]&lt;1000,"Low Sales")))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5" t="str">
        <f>PROPER(DMart_Sales_Data[[#This Row],[city]])</f>
        <v>Delhi</v>
      </c>
      <c r="O214" s="17" t="s">
        <v>62</v>
      </c>
      <c r="P214" s="66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25">
      <c r="A215" s="8" t="s">
        <v>256</v>
      </c>
      <c r="B215" s="9" t="s">
        <v>575</v>
      </c>
      <c r="C215" s="4" t="s">
        <v>575</v>
      </c>
      <c r="D215" s="10" t="s">
        <v>33</v>
      </c>
      <c r="E215" s="10">
        <v>2699.96</v>
      </c>
      <c r="F215" s="10" t="str">
        <f>IF(DMart_Sales_Data[[#This Row],[sales]]&gt;=3000,"High Sales",IF(DMart_Sales_Data[[#This Row],[sales]]&gt;=1000,"Medium Sales",IF(DMart_Sales_Data[[#This Row],[sales]]&lt;1000,"Low Sales")))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5" t="str">
        <f>PROPER(DMart_Sales_Data[[#This Row],[city]])</f>
        <v>Chennai</v>
      </c>
      <c r="O215" s="12" t="s">
        <v>43</v>
      </c>
      <c r="P215" s="66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25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15" t="str">
        <f>IF(DMart_Sales_Data[[#This Row],[sales]]&gt;=3000,"High Sales",IF(DMart_Sales_Data[[#This Row],[sales]]&gt;=1000,"Medium Sales",IF(DMart_Sales_Data[[#This Row],[sales]]&lt;1000,"Low Sales")))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5" t="str">
        <f>PROPER(DMart_Sales_Data[[#This Row],[city]])</f>
        <v>Pune</v>
      </c>
      <c r="O216" s="17" t="s">
        <v>47</v>
      </c>
      <c r="P216" s="66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25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10" t="str">
        <f>IF(DMart_Sales_Data[[#This Row],[sales]]&gt;=3000,"High Sales",IF(DMart_Sales_Data[[#This Row],[sales]]&gt;=1000,"Medium Sales",IF(DMart_Sales_Data[[#This Row],[sales]]&lt;1000,"Low Sales")))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5" t="str">
        <f>PROPER(DMart_Sales_Data[[#This Row],[city]])</f>
        <v>Mumbai</v>
      </c>
      <c r="O217" s="12" t="s">
        <v>21</v>
      </c>
      <c r="P217" s="66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25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15" t="str">
        <f>IF(DMart_Sales_Data[[#This Row],[sales]]&gt;=3000,"High Sales",IF(DMart_Sales_Data[[#This Row],[sales]]&gt;=1000,"Medium Sales",IF(DMart_Sales_Data[[#This Row],[sales]]&lt;1000,"Low Sales")))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5" t="str">
        <f>PROPER(DMart_Sales_Data[[#This Row],[city]])</f>
        <v>Mumbai</v>
      </c>
      <c r="O218" s="17" t="s">
        <v>54</v>
      </c>
      <c r="P218" s="66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25">
      <c r="A219" s="8" t="s">
        <v>260</v>
      </c>
      <c r="B219" s="9" t="s">
        <v>575</v>
      </c>
      <c r="C219" s="4" t="s">
        <v>575</v>
      </c>
      <c r="D219" s="10" t="s">
        <v>13</v>
      </c>
      <c r="E219" s="10">
        <v>1593.82</v>
      </c>
      <c r="F219" s="10" t="str">
        <f>IF(DMart_Sales_Data[[#This Row],[sales]]&gt;=3000,"High Sales",IF(DMart_Sales_Data[[#This Row],[sales]]&gt;=1000,"Medium Sales",IF(DMart_Sales_Data[[#This Row],[sales]]&lt;1000,"Low Sales")))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5" t="str">
        <f>PROPER(DMart_Sales_Data[[#This Row],[city]])</f>
        <v>Pune</v>
      </c>
      <c r="O219" s="12" t="s">
        <v>38</v>
      </c>
      <c r="P219" s="66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25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15" t="str">
        <f>IF(DMart_Sales_Data[[#This Row],[sales]]&gt;=3000,"High Sales",IF(DMart_Sales_Data[[#This Row],[sales]]&gt;=1000,"Medium Sales",IF(DMart_Sales_Data[[#This Row],[sales]]&lt;1000,"Low Sales")))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5" t="str">
        <f>PROPER(DMart_Sales_Data[[#This Row],[city]])</f>
        <v>Hyderabad</v>
      </c>
      <c r="O220" s="17" t="s">
        <v>57</v>
      </c>
      <c r="P220" s="66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25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10" t="str">
        <f>IF(DMart_Sales_Data[[#This Row],[sales]]&gt;=3000,"High Sales",IF(DMart_Sales_Data[[#This Row],[sales]]&gt;=1000,"Medium Sales",IF(DMart_Sales_Data[[#This Row],[sales]]&lt;1000,"Low Sales")))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5" t="str">
        <f>PROPER(DMart_Sales_Data[[#This Row],[city]])</f>
        <v>Chennai</v>
      </c>
      <c r="O221" s="12" t="s">
        <v>43</v>
      </c>
      <c r="P221" s="66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25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15" t="str">
        <f>IF(DMart_Sales_Data[[#This Row],[sales]]&gt;=3000,"High Sales",IF(DMart_Sales_Data[[#This Row],[sales]]&gt;=1000,"Medium Sales",IF(DMart_Sales_Data[[#This Row],[sales]]&lt;1000,"Low Sales")))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5" t="str">
        <f>PROPER(DMart_Sales_Data[[#This Row],[city]])</f>
        <v>Chennai</v>
      </c>
      <c r="O222" s="17" t="s">
        <v>67</v>
      </c>
      <c r="P222" s="66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25">
      <c r="A223" s="8" t="s">
        <v>264</v>
      </c>
      <c r="B223" s="9" t="s">
        <v>575</v>
      </c>
      <c r="C223" s="4" t="s">
        <v>575</v>
      </c>
      <c r="D223" s="10" t="s">
        <v>13</v>
      </c>
      <c r="E223" s="10">
        <v>3198.17</v>
      </c>
      <c r="F223" s="10" t="str">
        <f>IF(DMart_Sales_Data[[#This Row],[sales]]&gt;=3000,"High Sales",IF(DMart_Sales_Data[[#This Row],[sales]]&gt;=1000,"Medium Sales",IF(DMart_Sales_Data[[#This Row],[sales]]&lt;1000,"Low Sales")))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5" t="str">
        <f>PROPER(DMart_Sales_Data[[#This Row],[city]])</f>
        <v>Hyderabad</v>
      </c>
      <c r="O223" s="12" t="s">
        <v>29</v>
      </c>
      <c r="P223" s="66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25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15" t="str">
        <f>IF(DMart_Sales_Data[[#This Row],[sales]]&gt;=3000,"High Sales",IF(DMart_Sales_Data[[#This Row],[sales]]&gt;=1000,"Medium Sales",IF(DMart_Sales_Data[[#This Row],[sales]]&lt;1000,"Low Sales")))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5" t="str">
        <f>PROPER(DMart_Sales_Data[[#This Row],[city]])</f>
        <v>Mumbai</v>
      </c>
      <c r="O224" s="17" t="s">
        <v>54</v>
      </c>
      <c r="P224" s="66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25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10" t="str">
        <f>IF(DMart_Sales_Data[[#This Row],[sales]]&gt;=3000,"High Sales",IF(DMart_Sales_Data[[#This Row],[sales]]&gt;=1000,"Medium Sales",IF(DMart_Sales_Data[[#This Row],[sales]]&lt;1000,"Low Sales")))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5" t="str">
        <f>PROPER(DMart_Sales_Data[[#This Row],[city]])</f>
        <v>Mumbai</v>
      </c>
      <c r="O225" s="12" t="s">
        <v>21</v>
      </c>
      <c r="P225" s="66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25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15" t="str">
        <f>IF(DMart_Sales_Data[[#This Row],[sales]]&gt;=3000,"High Sales",IF(DMart_Sales_Data[[#This Row],[sales]]&gt;=1000,"Medium Sales",IF(DMart_Sales_Data[[#This Row],[sales]]&lt;1000,"Low Sales")))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5" t="str">
        <f>PROPER(DMart_Sales_Data[[#This Row],[city]])</f>
        <v>Chennai</v>
      </c>
      <c r="O226" s="17" t="s">
        <v>40</v>
      </c>
      <c r="P226" s="66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25">
      <c r="A227" s="8" t="s">
        <v>268</v>
      </c>
      <c r="B227" s="9" t="s">
        <v>575</v>
      </c>
      <c r="C227" s="4" t="s">
        <v>575</v>
      </c>
      <c r="D227" s="10" t="s">
        <v>33</v>
      </c>
      <c r="E227" s="10">
        <v>1967.83</v>
      </c>
      <c r="F227" s="10" t="str">
        <f>IF(DMart_Sales_Data[[#This Row],[sales]]&gt;=3000,"High Sales",IF(DMart_Sales_Data[[#This Row],[sales]]&gt;=1000,"Medium Sales",IF(DMart_Sales_Data[[#This Row],[sales]]&lt;1000,"Low Sales")))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5" t="str">
        <f>PROPER(DMart_Sales_Data[[#This Row],[city]])</f>
        <v>Hyderabad</v>
      </c>
      <c r="O227" s="12" t="s">
        <v>29</v>
      </c>
      <c r="P227" s="66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25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15" t="str">
        <f>IF(DMart_Sales_Data[[#This Row],[sales]]&gt;=3000,"High Sales",IF(DMart_Sales_Data[[#This Row],[sales]]&gt;=1000,"Medium Sales",IF(DMart_Sales_Data[[#This Row],[sales]]&lt;1000,"Low Sales")))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5" t="str">
        <f>PROPER(DMart_Sales_Data[[#This Row],[city]])</f>
        <v>Chennai</v>
      </c>
      <c r="O228" s="17" t="s">
        <v>40</v>
      </c>
      <c r="P228" s="66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25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10" t="str">
        <f>IF(DMart_Sales_Data[[#This Row],[sales]]&gt;=3000,"High Sales",IF(DMart_Sales_Data[[#This Row],[sales]]&gt;=1000,"Medium Sales",IF(DMart_Sales_Data[[#This Row],[sales]]&lt;1000,"Low Sales")))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5" t="str">
        <f>PROPER(DMart_Sales_Data[[#This Row],[city]])</f>
        <v>Bangalore</v>
      </c>
      <c r="O229" s="12" t="s">
        <v>94</v>
      </c>
      <c r="P229" s="66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25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15" t="str">
        <f>IF(DMart_Sales_Data[[#This Row],[sales]]&gt;=3000,"High Sales",IF(DMart_Sales_Data[[#This Row],[sales]]&gt;=1000,"Medium Sales",IF(DMart_Sales_Data[[#This Row],[sales]]&lt;1000,"Low Sales")))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5" t="str">
        <f>PROPER(DMart_Sales_Data[[#This Row],[city]])</f>
        <v>Delhi</v>
      </c>
      <c r="O230" s="17" t="s">
        <v>62</v>
      </c>
      <c r="P230" s="66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25">
      <c r="A231" s="8" t="s">
        <v>272</v>
      </c>
      <c r="B231" s="9" t="s">
        <v>575</v>
      </c>
      <c r="C231" s="4" t="s">
        <v>575</v>
      </c>
      <c r="D231" s="10" t="s">
        <v>13</v>
      </c>
      <c r="E231" s="10">
        <v>4609.2</v>
      </c>
      <c r="F231" s="10" t="str">
        <f>IF(DMart_Sales_Data[[#This Row],[sales]]&gt;=3000,"High Sales",IF(DMart_Sales_Data[[#This Row],[sales]]&gt;=1000,"Medium Sales",IF(DMart_Sales_Data[[#This Row],[sales]]&lt;1000,"Low Sales")))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5" t="str">
        <f>PROPER(DMart_Sales_Data[[#This Row],[city]])</f>
        <v>Pune</v>
      </c>
      <c r="O231" s="12" t="s">
        <v>47</v>
      </c>
      <c r="P231" s="66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25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15" t="str">
        <f>IF(DMart_Sales_Data[[#This Row],[sales]]&gt;=3000,"High Sales",IF(DMart_Sales_Data[[#This Row],[sales]]&gt;=1000,"Medium Sales",IF(DMart_Sales_Data[[#This Row],[sales]]&lt;1000,"Low Sales")))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5" t="str">
        <f>PROPER(DMart_Sales_Data[[#This Row],[city]])</f>
        <v>Bangalore</v>
      </c>
      <c r="O232" s="17" t="s">
        <v>94</v>
      </c>
      <c r="P232" s="66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25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10" t="str">
        <f>IF(DMart_Sales_Data[[#This Row],[sales]]&gt;=3000,"High Sales",IF(DMart_Sales_Data[[#This Row],[sales]]&gt;=1000,"Medium Sales",IF(DMart_Sales_Data[[#This Row],[sales]]&lt;1000,"Low Sales")))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5" t="str">
        <f>PROPER(DMart_Sales_Data[[#This Row],[city]])</f>
        <v>Delhi</v>
      </c>
      <c r="O233" s="12" t="s">
        <v>99</v>
      </c>
      <c r="P233" s="66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25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15" t="str">
        <f>IF(DMart_Sales_Data[[#This Row],[sales]]&gt;=3000,"High Sales",IF(DMart_Sales_Data[[#This Row],[sales]]&gt;=1000,"Medium Sales",IF(DMart_Sales_Data[[#This Row],[sales]]&lt;1000,"Low Sales")))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5" t="str">
        <f>PROPER(DMart_Sales_Data[[#This Row],[city]])</f>
        <v>Pune</v>
      </c>
      <c r="O234" s="17" t="s">
        <v>38</v>
      </c>
      <c r="P234" s="66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25">
      <c r="A235" s="8" t="s">
        <v>276</v>
      </c>
      <c r="B235" s="9" t="s">
        <v>575</v>
      </c>
      <c r="C235" s="4" t="s">
        <v>575</v>
      </c>
      <c r="D235" s="10" t="s">
        <v>18</v>
      </c>
      <c r="E235" s="10">
        <v>1715.43</v>
      </c>
      <c r="F235" s="10" t="str">
        <f>IF(DMart_Sales_Data[[#This Row],[sales]]&gt;=3000,"High Sales",IF(DMart_Sales_Data[[#This Row],[sales]]&gt;=1000,"Medium Sales",IF(DMart_Sales_Data[[#This Row],[sales]]&lt;1000,"Low Sales")))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5" t="str">
        <f>PROPER(DMart_Sales_Data[[#This Row],[city]])</f>
        <v>Bangalore</v>
      </c>
      <c r="O235" s="12" t="s">
        <v>94</v>
      </c>
      <c r="P235" s="66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25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15" t="str">
        <f>IF(DMart_Sales_Data[[#This Row],[sales]]&gt;=3000,"High Sales",IF(DMart_Sales_Data[[#This Row],[sales]]&gt;=1000,"Medium Sales",IF(DMart_Sales_Data[[#This Row],[sales]]&lt;1000,"Low Sales")))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5" t="str">
        <f>PROPER(DMart_Sales_Data[[#This Row],[city]])</f>
        <v>Hyderabad</v>
      </c>
      <c r="O236" s="17" t="s">
        <v>57</v>
      </c>
      <c r="P236" s="66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25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10" t="str">
        <f>IF(DMart_Sales_Data[[#This Row],[sales]]&gt;=3000,"High Sales",IF(DMart_Sales_Data[[#This Row],[sales]]&gt;=1000,"Medium Sales",IF(DMart_Sales_Data[[#This Row],[sales]]&lt;1000,"Low Sales")))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5" t="str">
        <f>PROPER(DMart_Sales_Data[[#This Row],[city]])</f>
        <v>Mumbai</v>
      </c>
      <c r="O237" s="12" t="s">
        <v>78</v>
      </c>
      <c r="P237" s="66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25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15" t="str">
        <f>IF(DMart_Sales_Data[[#This Row],[sales]]&gt;=3000,"High Sales",IF(DMart_Sales_Data[[#This Row],[sales]]&gt;=1000,"Medium Sales",IF(DMart_Sales_Data[[#This Row],[sales]]&lt;1000,"Low Sales")))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5" t="str">
        <f>PROPER(DMart_Sales_Data[[#This Row],[city]])</f>
        <v>Bangalore</v>
      </c>
      <c r="O238" s="17" t="s">
        <v>16</v>
      </c>
      <c r="P238" s="66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25">
      <c r="A239" s="8" t="s">
        <v>280</v>
      </c>
      <c r="B239" s="9" t="s">
        <v>575</v>
      </c>
      <c r="C239" s="4" t="s">
        <v>575</v>
      </c>
      <c r="D239" s="10" t="s">
        <v>13</v>
      </c>
      <c r="E239" s="10">
        <v>3854.54</v>
      </c>
      <c r="F239" s="10" t="str">
        <f>IF(DMart_Sales_Data[[#This Row],[sales]]&gt;=3000,"High Sales",IF(DMart_Sales_Data[[#This Row],[sales]]&gt;=1000,"Medium Sales",IF(DMart_Sales_Data[[#This Row],[sales]]&lt;1000,"Low Sales")))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5" t="str">
        <f>PROPER(DMart_Sales_Data[[#This Row],[city]])</f>
        <v>Hyderabad</v>
      </c>
      <c r="O239" s="12" t="s">
        <v>57</v>
      </c>
      <c r="P239" s="66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25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15" t="str">
        <f>IF(DMart_Sales_Data[[#This Row],[sales]]&gt;=3000,"High Sales",IF(DMart_Sales_Data[[#This Row],[sales]]&gt;=1000,"Medium Sales",IF(DMart_Sales_Data[[#This Row],[sales]]&lt;1000,"Low Sales")))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5" t="str">
        <f>PROPER(DMart_Sales_Data[[#This Row],[city]])</f>
        <v>Delhi</v>
      </c>
      <c r="O240" s="17" t="s">
        <v>64</v>
      </c>
      <c r="P240" s="66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25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10" t="str">
        <f>IF(DMart_Sales_Data[[#This Row],[sales]]&gt;=3000,"High Sales",IF(DMart_Sales_Data[[#This Row],[sales]]&gt;=1000,"Medium Sales",IF(DMart_Sales_Data[[#This Row],[sales]]&lt;1000,"Low Sales")))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5" t="str">
        <f>PROPER(DMart_Sales_Data[[#This Row],[city]])</f>
        <v>Delhi</v>
      </c>
      <c r="O241" s="12" t="s">
        <v>64</v>
      </c>
      <c r="P241" s="66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25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15" t="str">
        <f>IF(DMart_Sales_Data[[#This Row],[sales]]&gt;=3000,"High Sales",IF(DMart_Sales_Data[[#This Row],[sales]]&gt;=1000,"Medium Sales",IF(DMart_Sales_Data[[#This Row],[sales]]&lt;1000,"Low Sales")))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5" t="str">
        <f>PROPER(DMart_Sales_Data[[#This Row],[city]])</f>
        <v>Mumbai</v>
      </c>
      <c r="O242" s="17" t="s">
        <v>54</v>
      </c>
      <c r="P242" s="66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25">
      <c r="A243" s="8" t="s">
        <v>284</v>
      </c>
      <c r="B243" s="9" t="s">
        <v>575</v>
      </c>
      <c r="C243" s="4" t="s">
        <v>575</v>
      </c>
      <c r="D243" s="10" t="s">
        <v>24</v>
      </c>
      <c r="E243" s="10">
        <v>795.76</v>
      </c>
      <c r="F243" s="10" t="str">
        <f>IF(DMart_Sales_Data[[#This Row],[sales]]&gt;=3000,"High Sales",IF(DMart_Sales_Data[[#This Row],[sales]]&gt;=1000,"Medium Sales",IF(DMart_Sales_Data[[#This Row],[sales]]&lt;1000,"Low Sales")))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5" t="str">
        <f>PROPER(DMart_Sales_Data[[#This Row],[city]])</f>
        <v>Pune</v>
      </c>
      <c r="O243" s="12" t="s">
        <v>38</v>
      </c>
      <c r="P243" s="66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25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15" t="str">
        <f>IF(DMart_Sales_Data[[#This Row],[sales]]&gt;=3000,"High Sales",IF(DMart_Sales_Data[[#This Row],[sales]]&gt;=1000,"Medium Sales",IF(DMart_Sales_Data[[#This Row],[sales]]&lt;1000,"Low Sales")))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5" t="str">
        <f>PROPER(DMart_Sales_Data[[#This Row],[city]])</f>
        <v>Pune</v>
      </c>
      <c r="O244" s="17" t="s">
        <v>47</v>
      </c>
      <c r="P244" s="66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25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10" t="str">
        <f>IF(DMart_Sales_Data[[#This Row],[sales]]&gt;=3000,"High Sales",IF(DMart_Sales_Data[[#This Row],[sales]]&gt;=1000,"Medium Sales",IF(DMart_Sales_Data[[#This Row],[sales]]&lt;1000,"Low Sales")))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5" t="str">
        <f>PROPER(DMart_Sales_Data[[#This Row],[city]])</f>
        <v>Mumbai</v>
      </c>
      <c r="O245" s="12" t="s">
        <v>21</v>
      </c>
      <c r="P245" s="66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25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15" t="str">
        <f>IF(DMart_Sales_Data[[#This Row],[sales]]&gt;=3000,"High Sales",IF(DMart_Sales_Data[[#This Row],[sales]]&gt;=1000,"Medium Sales",IF(DMart_Sales_Data[[#This Row],[sales]]&lt;1000,"Low Sales")))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5" t="str">
        <f>PROPER(DMart_Sales_Data[[#This Row],[city]])</f>
        <v>Hyderabad</v>
      </c>
      <c r="O246" s="17" t="s">
        <v>29</v>
      </c>
      <c r="P246" s="66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25">
      <c r="A247" s="8" t="s">
        <v>288</v>
      </c>
      <c r="B247" s="9" t="s">
        <v>575</v>
      </c>
      <c r="C247" s="4" t="s">
        <v>575</v>
      </c>
      <c r="D247" s="10" t="s">
        <v>18</v>
      </c>
      <c r="E247" s="10">
        <v>3074.3</v>
      </c>
      <c r="F247" s="10" t="str">
        <f>IF(DMart_Sales_Data[[#This Row],[sales]]&gt;=3000,"High Sales",IF(DMart_Sales_Data[[#This Row],[sales]]&gt;=1000,"Medium Sales",IF(DMart_Sales_Data[[#This Row],[sales]]&lt;1000,"Low Sales")))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5" t="str">
        <f>PROPER(DMart_Sales_Data[[#This Row],[city]])</f>
        <v>Delhi</v>
      </c>
      <c r="O247" s="12" t="s">
        <v>99</v>
      </c>
      <c r="P247" s="66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25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15" t="str">
        <f>IF(DMart_Sales_Data[[#This Row],[sales]]&gt;=3000,"High Sales",IF(DMart_Sales_Data[[#This Row],[sales]]&gt;=1000,"Medium Sales",IF(DMart_Sales_Data[[#This Row],[sales]]&lt;1000,"Low Sales")))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5" t="str">
        <f>PROPER(DMart_Sales_Data[[#This Row],[city]])</f>
        <v>Pune</v>
      </c>
      <c r="O248" s="17" t="s">
        <v>47</v>
      </c>
      <c r="P248" s="66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25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10" t="str">
        <f>IF(DMart_Sales_Data[[#This Row],[sales]]&gt;=3000,"High Sales",IF(DMart_Sales_Data[[#This Row],[sales]]&gt;=1000,"Medium Sales",IF(DMart_Sales_Data[[#This Row],[sales]]&lt;1000,"Low Sales")))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5" t="str">
        <f>PROPER(DMart_Sales_Data[[#This Row],[city]])</f>
        <v>Chennai</v>
      </c>
      <c r="O249" s="12" t="s">
        <v>43</v>
      </c>
      <c r="P249" s="66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25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15" t="str">
        <f>IF(DMart_Sales_Data[[#This Row],[sales]]&gt;=3000,"High Sales",IF(DMart_Sales_Data[[#This Row],[sales]]&gt;=1000,"Medium Sales",IF(DMart_Sales_Data[[#This Row],[sales]]&lt;1000,"Low Sales")))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5" t="str">
        <f>PROPER(DMart_Sales_Data[[#This Row],[city]])</f>
        <v>Mumbai</v>
      </c>
      <c r="O250" s="17" t="s">
        <v>54</v>
      </c>
      <c r="P250" s="66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25">
      <c r="A251" s="8" t="s">
        <v>292</v>
      </c>
      <c r="B251" s="9" t="s">
        <v>575</v>
      </c>
      <c r="C251" s="4" t="s">
        <v>575</v>
      </c>
      <c r="D251" s="10" t="s">
        <v>33</v>
      </c>
      <c r="E251" s="10">
        <v>4051.32</v>
      </c>
      <c r="F251" s="10" t="str">
        <f>IF(DMart_Sales_Data[[#This Row],[sales]]&gt;=3000,"High Sales",IF(DMart_Sales_Data[[#This Row],[sales]]&gt;=1000,"Medium Sales",IF(DMart_Sales_Data[[#This Row],[sales]]&lt;1000,"Low Sales")))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5" t="str">
        <f>PROPER(DMart_Sales_Data[[#This Row],[city]])</f>
        <v>Pune</v>
      </c>
      <c r="O251" s="12" t="s">
        <v>47</v>
      </c>
      <c r="P251" s="66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25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15" t="str">
        <f>IF(DMart_Sales_Data[[#This Row],[sales]]&gt;=3000,"High Sales",IF(DMart_Sales_Data[[#This Row],[sales]]&gt;=1000,"Medium Sales",IF(DMart_Sales_Data[[#This Row],[sales]]&lt;1000,"Low Sales")))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5" t="str">
        <f>PROPER(DMart_Sales_Data[[#This Row],[city]])</f>
        <v>Bangalore</v>
      </c>
      <c r="O252" s="17" t="s">
        <v>16</v>
      </c>
      <c r="P252" s="66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25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10" t="str">
        <f>IF(DMart_Sales_Data[[#This Row],[sales]]&gt;=3000,"High Sales",IF(DMart_Sales_Data[[#This Row],[sales]]&gt;=1000,"Medium Sales",IF(DMart_Sales_Data[[#This Row],[sales]]&lt;1000,"Low Sales")))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5" t="str">
        <f>PROPER(DMart_Sales_Data[[#This Row],[city]])</f>
        <v>Delhi</v>
      </c>
      <c r="O253" s="12" t="s">
        <v>99</v>
      </c>
      <c r="P253" s="66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25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15" t="str">
        <f>IF(DMart_Sales_Data[[#This Row],[sales]]&gt;=3000,"High Sales",IF(DMart_Sales_Data[[#This Row],[sales]]&gt;=1000,"Medium Sales",IF(DMart_Sales_Data[[#This Row],[sales]]&lt;1000,"Low Sales")))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5" t="str">
        <f>PROPER(DMart_Sales_Data[[#This Row],[city]])</f>
        <v>Hyderabad</v>
      </c>
      <c r="O254" s="17" t="s">
        <v>29</v>
      </c>
      <c r="P254" s="66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25">
      <c r="A255" s="8" t="s">
        <v>296</v>
      </c>
      <c r="B255" s="9" t="s">
        <v>575</v>
      </c>
      <c r="C255" s="4" t="s">
        <v>575</v>
      </c>
      <c r="D255" s="10" t="s">
        <v>13</v>
      </c>
      <c r="E255" s="10">
        <v>805.04</v>
      </c>
      <c r="F255" s="10" t="str">
        <f>IF(DMart_Sales_Data[[#This Row],[sales]]&gt;=3000,"High Sales",IF(DMart_Sales_Data[[#This Row],[sales]]&gt;=1000,"Medium Sales",IF(DMart_Sales_Data[[#This Row],[sales]]&lt;1000,"Low Sales")))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5" t="str">
        <f>PROPER(DMart_Sales_Data[[#This Row],[city]])</f>
        <v>Mumbai</v>
      </c>
      <c r="O255" s="12" t="s">
        <v>54</v>
      </c>
      <c r="P255" s="66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25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15" t="str">
        <f>IF(DMart_Sales_Data[[#This Row],[sales]]&gt;=3000,"High Sales",IF(DMart_Sales_Data[[#This Row],[sales]]&gt;=1000,"Medium Sales",IF(DMart_Sales_Data[[#This Row],[sales]]&lt;1000,"Low Sales")))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5" t="str">
        <f>PROPER(DMart_Sales_Data[[#This Row],[city]])</f>
        <v>Delhi</v>
      </c>
      <c r="O256" s="17" t="s">
        <v>64</v>
      </c>
      <c r="P256" s="66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25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10" t="str">
        <f>IF(DMart_Sales_Data[[#This Row],[sales]]&gt;=3000,"High Sales",IF(DMart_Sales_Data[[#This Row],[sales]]&gt;=1000,"Medium Sales",IF(DMart_Sales_Data[[#This Row],[sales]]&lt;1000,"Low Sales")))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5" t="str">
        <f>PROPER(DMart_Sales_Data[[#This Row],[city]])</f>
        <v>Hyderabad</v>
      </c>
      <c r="O257" s="12" t="s">
        <v>57</v>
      </c>
      <c r="P257" s="66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25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15" t="str">
        <f>IF(DMart_Sales_Data[[#This Row],[sales]]&gt;=3000,"High Sales",IF(DMart_Sales_Data[[#This Row],[sales]]&gt;=1000,"Medium Sales",IF(DMart_Sales_Data[[#This Row],[sales]]&lt;1000,"Low Sales")))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5" t="str">
        <f>PROPER(DMart_Sales_Data[[#This Row],[city]])</f>
        <v>Chennai</v>
      </c>
      <c r="O258" s="17" t="s">
        <v>40</v>
      </c>
      <c r="P258" s="66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25">
      <c r="A259" s="8" t="s">
        <v>300</v>
      </c>
      <c r="B259" s="9" t="s">
        <v>575</v>
      </c>
      <c r="C259" s="4" t="s">
        <v>575</v>
      </c>
      <c r="D259" s="10" t="s">
        <v>18</v>
      </c>
      <c r="E259" s="10">
        <v>3438.46</v>
      </c>
      <c r="F259" s="10" t="str">
        <f>IF(DMart_Sales_Data[[#This Row],[sales]]&gt;=3000,"High Sales",IF(DMart_Sales_Data[[#This Row],[sales]]&gt;=1000,"Medium Sales",IF(DMart_Sales_Data[[#This Row],[sales]]&lt;1000,"Low Sales")))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5" t="str">
        <f>PROPER(DMart_Sales_Data[[#This Row],[city]])</f>
        <v>Pune</v>
      </c>
      <c r="O259" s="12" t="s">
        <v>38</v>
      </c>
      <c r="P259" s="66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25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15" t="str">
        <f>IF(DMart_Sales_Data[[#This Row],[sales]]&gt;=3000,"High Sales",IF(DMart_Sales_Data[[#This Row],[sales]]&gt;=1000,"Medium Sales",IF(DMart_Sales_Data[[#This Row],[sales]]&lt;1000,"Low Sales")))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5" t="str">
        <f>PROPER(DMart_Sales_Data[[#This Row],[city]])</f>
        <v>Mumbai</v>
      </c>
      <c r="O260" s="17" t="s">
        <v>21</v>
      </c>
      <c r="P260" s="66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25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10" t="str">
        <f>IF(DMart_Sales_Data[[#This Row],[sales]]&gt;=3000,"High Sales",IF(DMart_Sales_Data[[#This Row],[sales]]&gt;=1000,"Medium Sales",IF(DMart_Sales_Data[[#This Row],[sales]]&lt;1000,"Low Sales")))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5" t="str">
        <f>PROPER(DMart_Sales_Data[[#This Row],[city]])</f>
        <v>Chennai</v>
      </c>
      <c r="O261" s="12" t="s">
        <v>40</v>
      </c>
      <c r="P261" s="66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25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15" t="str">
        <f>IF(DMart_Sales_Data[[#This Row],[sales]]&gt;=3000,"High Sales",IF(DMart_Sales_Data[[#This Row],[sales]]&gt;=1000,"Medium Sales",IF(DMart_Sales_Data[[#This Row],[sales]]&lt;1000,"Low Sales")))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5" t="str">
        <f>PROPER(DMart_Sales_Data[[#This Row],[city]])</f>
        <v>Hyderabad</v>
      </c>
      <c r="O262" s="17" t="s">
        <v>29</v>
      </c>
      <c r="P262" s="66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25">
      <c r="A263" s="8" t="s">
        <v>304</v>
      </c>
      <c r="B263" s="9" t="s">
        <v>575</v>
      </c>
      <c r="C263" s="4" t="s">
        <v>575</v>
      </c>
      <c r="D263" s="10" t="s">
        <v>24</v>
      </c>
      <c r="E263" s="10">
        <v>3371.52</v>
      </c>
      <c r="F263" s="10" t="str">
        <f>IF(DMart_Sales_Data[[#This Row],[sales]]&gt;=3000,"High Sales",IF(DMart_Sales_Data[[#This Row],[sales]]&gt;=1000,"Medium Sales",IF(DMart_Sales_Data[[#This Row],[sales]]&lt;1000,"Low Sales")))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5" t="str">
        <f>PROPER(DMart_Sales_Data[[#This Row],[city]])</f>
        <v>Mumbai</v>
      </c>
      <c r="O263" s="12" t="s">
        <v>78</v>
      </c>
      <c r="P263" s="66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25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15" t="str">
        <f>IF(DMart_Sales_Data[[#This Row],[sales]]&gt;=3000,"High Sales",IF(DMart_Sales_Data[[#This Row],[sales]]&gt;=1000,"Medium Sales",IF(DMart_Sales_Data[[#This Row],[sales]]&lt;1000,"Low Sales")))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5" t="str">
        <f>PROPER(DMart_Sales_Data[[#This Row],[city]])</f>
        <v>Delhi</v>
      </c>
      <c r="O264" s="17" t="s">
        <v>64</v>
      </c>
      <c r="P264" s="66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25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10" t="str">
        <f>IF(DMart_Sales_Data[[#This Row],[sales]]&gt;=3000,"High Sales",IF(DMart_Sales_Data[[#This Row],[sales]]&gt;=1000,"Medium Sales",IF(DMart_Sales_Data[[#This Row],[sales]]&lt;1000,"Low Sales")))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5" t="str">
        <f>PROPER(DMart_Sales_Data[[#This Row],[city]])</f>
        <v>Pune</v>
      </c>
      <c r="O265" s="12" t="s">
        <v>38</v>
      </c>
      <c r="P265" s="66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25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15" t="str">
        <f>IF(DMart_Sales_Data[[#This Row],[sales]]&gt;=3000,"High Sales",IF(DMart_Sales_Data[[#This Row],[sales]]&gt;=1000,"Medium Sales",IF(DMart_Sales_Data[[#This Row],[sales]]&lt;1000,"Low Sales")))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5" t="str">
        <f>PROPER(DMart_Sales_Data[[#This Row],[city]])</f>
        <v>Delhi</v>
      </c>
      <c r="O266" s="17" t="s">
        <v>99</v>
      </c>
      <c r="P266" s="66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25">
      <c r="A267" s="8" t="s">
        <v>308</v>
      </c>
      <c r="B267" s="9" t="s">
        <v>575</v>
      </c>
      <c r="C267" s="4" t="s">
        <v>575</v>
      </c>
      <c r="D267" s="10" t="s">
        <v>33</v>
      </c>
      <c r="E267" s="10">
        <v>1426.63</v>
      </c>
      <c r="F267" s="10" t="str">
        <f>IF(DMart_Sales_Data[[#This Row],[sales]]&gt;=3000,"High Sales",IF(DMart_Sales_Data[[#This Row],[sales]]&gt;=1000,"Medium Sales",IF(DMart_Sales_Data[[#This Row],[sales]]&lt;1000,"Low Sales")))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5" t="str">
        <f>PROPER(DMart_Sales_Data[[#This Row],[city]])</f>
        <v>Chennai</v>
      </c>
      <c r="O267" s="12" t="s">
        <v>40</v>
      </c>
      <c r="P267" s="66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25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15" t="str">
        <f>IF(DMart_Sales_Data[[#This Row],[sales]]&gt;=3000,"High Sales",IF(DMart_Sales_Data[[#This Row],[sales]]&gt;=1000,"Medium Sales",IF(DMart_Sales_Data[[#This Row],[sales]]&lt;1000,"Low Sales")))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5" t="str">
        <f>PROPER(DMart_Sales_Data[[#This Row],[city]])</f>
        <v>Chennai</v>
      </c>
      <c r="O268" s="17" t="s">
        <v>40</v>
      </c>
      <c r="P268" s="66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25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10" t="str">
        <f>IF(DMart_Sales_Data[[#This Row],[sales]]&gt;=3000,"High Sales",IF(DMart_Sales_Data[[#This Row],[sales]]&gt;=1000,"Medium Sales",IF(DMart_Sales_Data[[#This Row],[sales]]&lt;1000,"Low Sales")))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5" t="str">
        <f>PROPER(DMart_Sales_Data[[#This Row],[city]])</f>
        <v>Chennai</v>
      </c>
      <c r="O269" s="12" t="s">
        <v>40</v>
      </c>
      <c r="P269" s="66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25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15" t="str">
        <f>IF(DMart_Sales_Data[[#This Row],[sales]]&gt;=3000,"High Sales",IF(DMart_Sales_Data[[#This Row],[sales]]&gt;=1000,"Medium Sales",IF(DMart_Sales_Data[[#This Row],[sales]]&lt;1000,"Low Sales")))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5" t="str">
        <f>PROPER(DMart_Sales_Data[[#This Row],[city]])</f>
        <v>Bangalore</v>
      </c>
      <c r="O270" s="17" t="s">
        <v>51</v>
      </c>
      <c r="P270" s="66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25">
      <c r="A271" s="8" t="s">
        <v>312</v>
      </c>
      <c r="B271" s="9" t="s">
        <v>575</v>
      </c>
      <c r="C271" s="4" t="s">
        <v>575</v>
      </c>
      <c r="D271" s="10" t="s">
        <v>13</v>
      </c>
      <c r="E271" s="10">
        <v>4094.66</v>
      </c>
      <c r="F271" s="10" t="str">
        <f>IF(DMart_Sales_Data[[#This Row],[sales]]&gt;=3000,"High Sales",IF(DMart_Sales_Data[[#This Row],[sales]]&gt;=1000,"Medium Sales",IF(DMart_Sales_Data[[#This Row],[sales]]&lt;1000,"Low Sales")))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5" t="str">
        <f>PROPER(DMart_Sales_Data[[#This Row],[city]])</f>
        <v>Mumbai</v>
      </c>
      <c r="O271" s="12" t="s">
        <v>78</v>
      </c>
      <c r="P271" s="66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25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15" t="str">
        <f>IF(DMart_Sales_Data[[#This Row],[sales]]&gt;=3000,"High Sales",IF(DMart_Sales_Data[[#This Row],[sales]]&gt;=1000,"Medium Sales",IF(DMart_Sales_Data[[#This Row],[sales]]&lt;1000,"Low Sales")))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5" t="str">
        <f>PROPER(DMart_Sales_Data[[#This Row],[city]])</f>
        <v>Hyderabad</v>
      </c>
      <c r="O272" s="17" t="s">
        <v>29</v>
      </c>
      <c r="P272" s="66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25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10" t="str">
        <f>IF(DMart_Sales_Data[[#This Row],[sales]]&gt;=3000,"High Sales",IF(DMart_Sales_Data[[#This Row],[sales]]&gt;=1000,"Medium Sales",IF(DMart_Sales_Data[[#This Row],[sales]]&lt;1000,"Low Sales")))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5" t="str">
        <f>PROPER(DMart_Sales_Data[[#This Row],[city]])</f>
        <v>Hyderabad</v>
      </c>
      <c r="O273" s="12" t="s">
        <v>29</v>
      </c>
      <c r="P273" s="66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25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15" t="str">
        <f>IF(DMart_Sales_Data[[#This Row],[sales]]&gt;=3000,"High Sales",IF(DMart_Sales_Data[[#This Row],[sales]]&gt;=1000,"Medium Sales",IF(DMart_Sales_Data[[#This Row],[sales]]&lt;1000,"Low Sales")))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5" t="str">
        <f>PROPER(DMart_Sales_Data[[#This Row],[city]])</f>
        <v>Delhi</v>
      </c>
      <c r="O274" s="17" t="s">
        <v>64</v>
      </c>
      <c r="P274" s="66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25">
      <c r="A275" s="8" t="s">
        <v>316</v>
      </c>
      <c r="B275" s="9" t="s">
        <v>575</v>
      </c>
      <c r="C275" s="4" t="s">
        <v>575</v>
      </c>
      <c r="D275" s="10" t="s">
        <v>33</v>
      </c>
      <c r="E275" s="10">
        <v>4953.24</v>
      </c>
      <c r="F275" s="10" t="str">
        <f>IF(DMart_Sales_Data[[#This Row],[sales]]&gt;=3000,"High Sales",IF(DMart_Sales_Data[[#This Row],[sales]]&gt;=1000,"Medium Sales",IF(DMart_Sales_Data[[#This Row],[sales]]&lt;1000,"Low Sales")))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5" t="str">
        <f>PROPER(DMart_Sales_Data[[#This Row],[city]])</f>
        <v>Delhi</v>
      </c>
      <c r="O275" s="12" t="s">
        <v>99</v>
      </c>
      <c r="P275" s="66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25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15" t="str">
        <f>IF(DMart_Sales_Data[[#This Row],[sales]]&gt;=3000,"High Sales",IF(DMart_Sales_Data[[#This Row],[sales]]&gt;=1000,"Medium Sales",IF(DMart_Sales_Data[[#This Row],[sales]]&lt;1000,"Low Sales")))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5" t="str">
        <f>PROPER(DMart_Sales_Data[[#This Row],[city]])</f>
        <v>Delhi</v>
      </c>
      <c r="O276" s="17" t="s">
        <v>64</v>
      </c>
      <c r="P276" s="66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25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10" t="str">
        <f>IF(DMart_Sales_Data[[#This Row],[sales]]&gt;=3000,"High Sales",IF(DMart_Sales_Data[[#This Row],[sales]]&gt;=1000,"Medium Sales",IF(DMart_Sales_Data[[#This Row],[sales]]&lt;1000,"Low Sales")))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5" t="str">
        <f>PROPER(DMart_Sales_Data[[#This Row],[city]])</f>
        <v>Delhi</v>
      </c>
      <c r="O277" s="12" t="s">
        <v>99</v>
      </c>
      <c r="P277" s="66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25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15" t="str">
        <f>IF(DMart_Sales_Data[[#This Row],[sales]]&gt;=3000,"High Sales",IF(DMart_Sales_Data[[#This Row],[sales]]&gt;=1000,"Medium Sales",IF(DMart_Sales_Data[[#This Row],[sales]]&lt;1000,"Low Sales")))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5" t="str">
        <f>PROPER(DMart_Sales_Data[[#This Row],[city]])</f>
        <v>Delhi</v>
      </c>
      <c r="O278" s="17" t="s">
        <v>62</v>
      </c>
      <c r="P278" s="66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25">
      <c r="A279" s="8" t="s">
        <v>320</v>
      </c>
      <c r="B279" s="9" t="s">
        <v>575</v>
      </c>
      <c r="C279" s="4" t="s">
        <v>575</v>
      </c>
      <c r="D279" s="10" t="s">
        <v>24</v>
      </c>
      <c r="E279" s="10">
        <v>1721.79</v>
      </c>
      <c r="F279" s="10" t="str">
        <f>IF(DMart_Sales_Data[[#This Row],[sales]]&gt;=3000,"High Sales",IF(DMart_Sales_Data[[#This Row],[sales]]&gt;=1000,"Medium Sales",IF(DMart_Sales_Data[[#This Row],[sales]]&lt;1000,"Low Sales")))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5" t="str">
        <f>PROPER(DMart_Sales_Data[[#This Row],[city]])</f>
        <v>Mumbai</v>
      </c>
      <c r="O279" s="12" t="s">
        <v>21</v>
      </c>
      <c r="P279" s="66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25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15" t="str">
        <f>IF(DMart_Sales_Data[[#This Row],[sales]]&gt;=3000,"High Sales",IF(DMart_Sales_Data[[#This Row],[sales]]&gt;=1000,"Medium Sales",IF(DMart_Sales_Data[[#This Row],[sales]]&lt;1000,"Low Sales")))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5" t="str">
        <f>PROPER(DMart_Sales_Data[[#This Row],[city]])</f>
        <v>Mumbai</v>
      </c>
      <c r="O280" s="17" t="s">
        <v>54</v>
      </c>
      <c r="P280" s="66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25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10" t="str">
        <f>IF(DMart_Sales_Data[[#This Row],[sales]]&gt;=3000,"High Sales",IF(DMart_Sales_Data[[#This Row],[sales]]&gt;=1000,"Medium Sales",IF(DMart_Sales_Data[[#This Row],[sales]]&lt;1000,"Low Sales")))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5" t="str">
        <f>PROPER(DMart_Sales_Data[[#This Row],[city]])</f>
        <v>Pune</v>
      </c>
      <c r="O281" s="12" t="s">
        <v>47</v>
      </c>
      <c r="P281" s="66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25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15" t="str">
        <f>IF(DMart_Sales_Data[[#This Row],[sales]]&gt;=3000,"High Sales",IF(DMart_Sales_Data[[#This Row],[sales]]&gt;=1000,"Medium Sales",IF(DMart_Sales_Data[[#This Row],[sales]]&lt;1000,"Low Sales")))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5" t="str">
        <f>PROPER(DMart_Sales_Data[[#This Row],[city]])</f>
        <v>Hyderabad</v>
      </c>
      <c r="O282" s="17" t="s">
        <v>57</v>
      </c>
      <c r="P282" s="66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25">
      <c r="A283" s="8" t="s">
        <v>324</v>
      </c>
      <c r="B283" s="9" t="s">
        <v>575</v>
      </c>
      <c r="C283" s="4" t="s">
        <v>575</v>
      </c>
      <c r="D283" s="10" t="s">
        <v>36</v>
      </c>
      <c r="E283" s="10">
        <v>1848.16</v>
      </c>
      <c r="F283" s="10" t="str">
        <f>IF(DMart_Sales_Data[[#This Row],[sales]]&gt;=3000,"High Sales",IF(DMart_Sales_Data[[#This Row],[sales]]&gt;=1000,"Medium Sales",IF(DMart_Sales_Data[[#This Row],[sales]]&lt;1000,"Low Sales")))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5" t="str">
        <f>PROPER(DMart_Sales_Data[[#This Row],[city]])</f>
        <v>Hyderabad</v>
      </c>
      <c r="O283" s="12" t="s">
        <v>29</v>
      </c>
      <c r="P283" s="66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25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15" t="str">
        <f>IF(DMart_Sales_Data[[#This Row],[sales]]&gt;=3000,"High Sales",IF(DMart_Sales_Data[[#This Row],[sales]]&gt;=1000,"Medium Sales",IF(DMart_Sales_Data[[#This Row],[sales]]&lt;1000,"Low Sales")))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5" t="str">
        <f>PROPER(DMart_Sales_Data[[#This Row],[city]])</f>
        <v>Pune</v>
      </c>
      <c r="O284" s="17" t="s">
        <v>26</v>
      </c>
      <c r="P284" s="66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25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10" t="str">
        <f>IF(DMart_Sales_Data[[#This Row],[sales]]&gt;=3000,"High Sales",IF(DMart_Sales_Data[[#This Row],[sales]]&gt;=1000,"Medium Sales",IF(DMart_Sales_Data[[#This Row],[sales]]&lt;1000,"Low Sales")))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5" t="str">
        <f>PROPER(DMart_Sales_Data[[#This Row],[city]])</f>
        <v>Mumbai</v>
      </c>
      <c r="O285" s="12" t="s">
        <v>21</v>
      </c>
      <c r="P285" s="66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25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15" t="str">
        <f>IF(DMart_Sales_Data[[#This Row],[sales]]&gt;=3000,"High Sales",IF(DMart_Sales_Data[[#This Row],[sales]]&gt;=1000,"Medium Sales",IF(DMart_Sales_Data[[#This Row],[sales]]&lt;1000,"Low Sales")))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5" t="str">
        <f>PROPER(DMart_Sales_Data[[#This Row],[city]])</f>
        <v>Mumbai</v>
      </c>
      <c r="O286" s="17" t="s">
        <v>21</v>
      </c>
      <c r="P286" s="66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25">
      <c r="A287" s="8" t="s">
        <v>328</v>
      </c>
      <c r="B287" s="9" t="s">
        <v>575</v>
      </c>
      <c r="C287" s="4" t="s">
        <v>575</v>
      </c>
      <c r="D287" s="10" t="s">
        <v>24</v>
      </c>
      <c r="E287" s="10">
        <v>1902.78</v>
      </c>
      <c r="F287" s="10" t="str">
        <f>IF(DMart_Sales_Data[[#This Row],[sales]]&gt;=3000,"High Sales",IF(DMart_Sales_Data[[#This Row],[sales]]&gt;=1000,"Medium Sales",IF(DMart_Sales_Data[[#This Row],[sales]]&lt;1000,"Low Sales")))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5" t="str">
        <f>PROPER(DMart_Sales_Data[[#This Row],[city]])</f>
        <v>Mumbai</v>
      </c>
      <c r="O287" s="12" t="s">
        <v>21</v>
      </c>
      <c r="P287" s="66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25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15" t="str">
        <f>IF(DMart_Sales_Data[[#This Row],[sales]]&gt;=3000,"High Sales",IF(DMart_Sales_Data[[#This Row],[sales]]&gt;=1000,"Medium Sales",IF(DMart_Sales_Data[[#This Row],[sales]]&lt;1000,"Low Sales")))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5" t="str">
        <f>PROPER(DMart_Sales_Data[[#This Row],[city]])</f>
        <v>Bangalore</v>
      </c>
      <c r="O288" s="17" t="s">
        <v>16</v>
      </c>
      <c r="P288" s="66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25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10" t="str">
        <f>IF(DMart_Sales_Data[[#This Row],[sales]]&gt;=3000,"High Sales",IF(DMart_Sales_Data[[#This Row],[sales]]&gt;=1000,"Medium Sales",IF(DMart_Sales_Data[[#This Row],[sales]]&lt;1000,"Low Sales")))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5" t="str">
        <f>PROPER(DMart_Sales_Data[[#This Row],[city]])</f>
        <v>Chennai</v>
      </c>
      <c r="O289" s="12" t="s">
        <v>67</v>
      </c>
      <c r="P289" s="66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25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15" t="str">
        <f>IF(DMart_Sales_Data[[#This Row],[sales]]&gt;=3000,"High Sales",IF(DMart_Sales_Data[[#This Row],[sales]]&gt;=1000,"Medium Sales",IF(DMart_Sales_Data[[#This Row],[sales]]&lt;1000,"Low Sales")))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5" t="str">
        <f>PROPER(DMart_Sales_Data[[#This Row],[city]])</f>
        <v>Hyderabad</v>
      </c>
      <c r="O290" s="17" t="s">
        <v>57</v>
      </c>
      <c r="P290" s="66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25">
      <c r="A291" s="8" t="s">
        <v>332</v>
      </c>
      <c r="B291" s="9" t="s">
        <v>575</v>
      </c>
      <c r="C291" s="4" t="s">
        <v>575</v>
      </c>
      <c r="D291" s="10" t="s">
        <v>13</v>
      </c>
      <c r="E291" s="10">
        <v>3521.03</v>
      </c>
      <c r="F291" s="10" t="str">
        <f>IF(DMart_Sales_Data[[#This Row],[sales]]&gt;=3000,"High Sales",IF(DMart_Sales_Data[[#This Row],[sales]]&gt;=1000,"Medium Sales",IF(DMart_Sales_Data[[#This Row],[sales]]&lt;1000,"Low Sales")))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5" t="str">
        <f>PROPER(DMart_Sales_Data[[#This Row],[city]])</f>
        <v>Chennai</v>
      </c>
      <c r="O291" s="12" t="s">
        <v>40</v>
      </c>
      <c r="P291" s="66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25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15" t="str">
        <f>IF(DMart_Sales_Data[[#This Row],[sales]]&gt;=3000,"High Sales",IF(DMart_Sales_Data[[#This Row],[sales]]&gt;=1000,"Medium Sales",IF(DMart_Sales_Data[[#This Row],[sales]]&lt;1000,"Low Sales")))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5" t="str">
        <f>PROPER(DMart_Sales_Data[[#This Row],[city]])</f>
        <v>Mumbai</v>
      </c>
      <c r="O292" s="17" t="s">
        <v>78</v>
      </c>
      <c r="P292" s="66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25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10" t="str">
        <f>IF(DMart_Sales_Data[[#This Row],[sales]]&gt;=3000,"High Sales",IF(DMart_Sales_Data[[#This Row],[sales]]&gt;=1000,"Medium Sales",IF(DMart_Sales_Data[[#This Row],[sales]]&lt;1000,"Low Sales")))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5" t="str">
        <f>PROPER(DMart_Sales_Data[[#This Row],[city]])</f>
        <v>Hyderabad</v>
      </c>
      <c r="O293" s="12" t="s">
        <v>34</v>
      </c>
      <c r="P293" s="66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25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15" t="str">
        <f>IF(DMart_Sales_Data[[#This Row],[sales]]&gt;=3000,"High Sales",IF(DMart_Sales_Data[[#This Row],[sales]]&gt;=1000,"Medium Sales",IF(DMart_Sales_Data[[#This Row],[sales]]&lt;1000,"Low Sales")))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5" t="str">
        <f>PROPER(DMart_Sales_Data[[#This Row],[city]])</f>
        <v>Mumbai</v>
      </c>
      <c r="O294" s="17" t="s">
        <v>54</v>
      </c>
      <c r="P294" s="66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25">
      <c r="A295" s="8" t="s">
        <v>336</v>
      </c>
      <c r="B295" s="9" t="s">
        <v>575</v>
      </c>
      <c r="C295" s="4" t="s">
        <v>575</v>
      </c>
      <c r="D295" s="10" t="s">
        <v>33</v>
      </c>
      <c r="E295" s="10">
        <v>1844.98</v>
      </c>
      <c r="F295" s="10" t="str">
        <f>IF(DMart_Sales_Data[[#This Row],[sales]]&gt;=3000,"High Sales",IF(DMart_Sales_Data[[#This Row],[sales]]&gt;=1000,"Medium Sales",IF(DMart_Sales_Data[[#This Row],[sales]]&lt;1000,"Low Sales")))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5" t="str">
        <f>PROPER(DMart_Sales_Data[[#This Row],[city]])</f>
        <v>Hyderabad</v>
      </c>
      <c r="O295" s="12" t="s">
        <v>57</v>
      </c>
      <c r="P295" s="66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25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15" t="str">
        <f>IF(DMart_Sales_Data[[#This Row],[sales]]&gt;=3000,"High Sales",IF(DMart_Sales_Data[[#This Row],[sales]]&gt;=1000,"Medium Sales",IF(DMart_Sales_Data[[#This Row],[sales]]&lt;1000,"Low Sales")))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5" t="str">
        <f>PROPER(DMart_Sales_Data[[#This Row],[city]])</f>
        <v>Chennai</v>
      </c>
      <c r="O296" s="17" t="s">
        <v>40</v>
      </c>
      <c r="P296" s="66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25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10" t="str">
        <f>IF(DMart_Sales_Data[[#This Row],[sales]]&gt;=3000,"High Sales",IF(DMart_Sales_Data[[#This Row],[sales]]&gt;=1000,"Medium Sales",IF(DMart_Sales_Data[[#This Row],[sales]]&lt;1000,"Low Sales")))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5" t="str">
        <f>PROPER(DMart_Sales_Data[[#This Row],[city]])</f>
        <v>Chennai</v>
      </c>
      <c r="O297" s="12" t="s">
        <v>43</v>
      </c>
      <c r="P297" s="66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25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15" t="str">
        <f>IF(DMart_Sales_Data[[#This Row],[sales]]&gt;=3000,"High Sales",IF(DMart_Sales_Data[[#This Row],[sales]]&gt;=1000,"Medium Sales",IF(DMart_Sales_Data[[#This Row],[sales]]&lt;1000,"Low Sales")))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5" t="str">
        <f>PROPER(DMart_Sales_Data[[#This Row],[city]])</f>
        <v>Chennai</v>
      </c>
      <c r="O298" s="17" t="s">
        <v>67</v>
      </c>
      <c r="P298" s="66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25">
      <c r="A299" s="8" t="s">
        <v>340</v>
      </c>
      <c r="B299" s="9" t="s">
        <v>575</v>
      </c>
      <c r="C299" s="4" t="s">
        <v>575</v>
      </c>
      <c r="D299" s="10" t="s">
        <v>24</v>
      </c>
      <c r="E299" s="10">
        <v>4444.3999999999996</v>
      </c>
      <c r="F299" s="10" t="str">
        <f>IF(DMart_Sales_Data[[#This Row],[sales]]&gt;=3000,"High Sales",IF(DMart_Sales_Data[[#This Row],[sales]]&gt;=1000,"Medium Sales",IF(DMart_Sales_Data[[#This Row],[sales]]&lt;1000,"Low Sales")))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5" t="str">
        <f>PROPER(DMart_Sales_Data[[#This Row],[city]])</f>
        <v>Pune</v>
      </c>
      <c r="O299" s="12" t="s">
        <v>26</v>
      </c>
      <c r="P299" s="66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25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15" t="str">
        <f>IF(DMart_Sales_Data[[#This Row],[sales]]&gt;=3000,"High Sales",IF(DMart_Sales_Data[[#This Row],[sales]]&gt;=1000,"Medium Sales",IF(DMart_Sales_Data[[#This Row],[sales]]&lt;1000,"Low Sales")))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5" t="str">
        <f>PROPER(DMart_Sales_Data[[#This Row],[city]])</f>
        <v>Chennai</v>
      </c>
      <c r="O300" s="17" t="s">
        <v>67</v>
      </c>
      <c r="P300" s="66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25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10" t="str">
        <f>IF(DMart_Sales_Data[[#This Row],[sales]]&gt;=3000,"High Sales",IF(DMart_Sales_Data[[#This Row],[sales]]&gt;=1000,"Medium Sales",IF(DMart_Sales_Data[[#This Row],[sales]]&lt;1000,"Low Sales")))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5" t="str">
        <f>PROPER(DMart_Sales_Data[[#This Row],[city]])</f>
        <v>Mumbai</v>
      </c>
      <c r="O301" s="12" t="s">
        <v>78</v>
      </c>
      <c r="P301" s="66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25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15" t="str">
        <f>IF(DMart_Sales_Data[[#This Row],[sales]]&gt;=3000,"High Sales",IF(DMart_Sales_Data[[#This Row],[sales]]&gt;=1000,"Medium Sales",IF(DMart_Sales_Data[[#This Row],[sales]]&lt;1000,"Low Sales")))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5" t="str">
        <f>PROPER(DMart_Sales_Data[[#This Row],[city]])</f>
        <v>Pune</v>
      </c>
      <c r="O302" s="17" t="s">
        <v>26</v>
      </c>
      <c r="P302" s="66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25">
      <c r="A303" s="8" t="s">
        <v>344</v>
      </c>
      <c r="B303" s="9" t="s">
        <v>575</v>
      </c>
      <c r="C303" s="4" t="s">
        <v>575</v>
      </c>
      <c r="D303" s="10" t="s">
        <v>33</v>
      </c>
      <c r="E303" s="10">
        <v>108.97</v>
      </c>
      <c r="F303" s="10" t="str">
        <f>IF(DMart_Sales_Data[[#This Row],[sales]]&gt;=3000,"High Sales",IF(DMart_Sales_Data[[#This Row],[sales]]&gt;=1000,"Medium Sales",IF(DMart_Sales_Data[[#This Row],[sales]]&lt;1000,"Low Sales")))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5" t="str">
        <f>PROPER(DMart_Sales_Data[[#This Row],[city]])</f>
        <v>Delhi</v>
      </c>
      <c r="O303" s="12" t="s">
        <v>64</v>
      </c>
      <c r="P303" s="66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25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15" t="str">
        <f>IF(DMart_Sales_Data[[#This Row],[sales]]&gt;=3000,"High Sales",IF(DMart_Sales_Data[[#This Row],[sales]]&gt;=1000,"Medium Sales",IF(DMart_Sales_Data[[#This Row],[sales]]&lt;1000,"Low Sales")))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5" t="str">
        <f>PROPER(DMart_Sales_Data[[#This Row],[city]])</f>
        <v>Pune</v>
      </c>
      <c r="O304" s="17" t="s">
        <v>47</v>
      </c>
      <c r="P304" s="66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25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10" t="str">
        <f>IF(DMart_Sales_Data[[#This Row],[sales]]&gt;=3000,"High Sales",IF(DMart_Sales_Data[[#This Row],[sales]]&gt;=1000,"Medium Sales",IF(DMart_Sales_Data[[#This Row],[sales]]&lt;1000,"Low Sales")))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5" t="str">
        <f>PROPER(DMart_Sales_Data[[#This Row],[city]])</f>
        <v>Mumbai</v>
      </c>
      <c r="O305" s="12" t="s">
        <v>54</v>
      </c>
      <c r="P305" s="66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25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15" t="str">
        <f>IF(DMart_Sales_Data[[#This Row],[sales]]&gt;=3000,"High Sales",IF(DMart_Sales_Data[[#This Row],[sales]]&gt;=1000,"Medium Sales",IF(DMart_Sales_Data[[#This Row],[sales]]&lt;1000,"Low Sales")))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5" t="str">
        <f>PROPER(DMart_Sales_Data[[#This Row],[city]])</f>
        <v>Mumbai</v>
      </c>
      <c r="O306" s="17" t="s">
        <v>21</v>
      </c>
      <c r="P306" s="66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25">
      <c r="A307" s="8" t="s">
        <v>348</v>
      </c>
      <c r="B307" s="9" t="s">
        <v>575</v>
      </c>
      <c r="C307" s="4" t="s">
        <v>575</v>
      </c>
      <c r="D307" s="10" t="s">
        <v>36</v>
      </c>
      <c r="E307" s="10">
        <v>2862.71</v>
      </c>
      <c r="F307" s="10" t="str">
        <f>IF(DMart_Sales_Data[[#This Row],[sales]]&gt;=3000,"High Sales",IF(DMart_Sales_Data[[#This Row],[sales]]&gt;=1000,"Medium Sales",IF(DMart_Sales_Data[[#This Row],[sales]]&lt;1000,"Low Sales")))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5" t="str">
        <f>PROPER(DMart_Sales_Data[[#This Row],[city]])</f>
        <v>Hyderabad</v>
      </c>
      <c r="O307" s="12" t="s">
        <v>34</v>
      </c>
      <c r="P307" s="66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25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15" t="str">
        <f>IF(DMart_Sales_Data[[#This Row],[sales]]&gt;=3000,"High Sales",IF(DMart_Sales_Data[[#This Row],[sales]]&gt;=1000,"Medium Sales",IF(DMart_Sales_Data[[#This Row],[sales]]&lt;1000,"Low Sales")))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5" t="str">
        <f>PROPER(DMart_Sales_Data[[#This Row],[city]])</f>
        <v>Pune</v>
      </c>
      <c r="O308" s="17" t="s">
        <v>38</v>
      </c>
      <c r="P308" s="66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25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10" t="str">
        <f>IF(DMart_Sales_Data[[#This Row],[sales]]&gt;=3000,"High Sales",IF(DMart_Sales_Data[[#This Row],[sales]]&gt;=1000,"Medium Sales",IF(DMart_Sales_Data[[#This Row],[sales]]&lt;1000,"Low Sales")))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5" t="str">
        <f>PROPER(DMart_Sales_Data[[#This Row],[city]])</f>
        <v>Bangalore</v>
      </c>
      <c r="O309" s="12" t="s">
        <v>94</v>
      </c>
      <c r="P309" s="66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25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15" t="str">
        <f>IF(DMart_Sales_Data[[#This Row],[sales]]&gt;=3000,"High Sales",IF(DMart_Sales_Data[[#This Row],[sales]]&gt;=1000,"Medium Sales",IF(DMart_Sales_Data[[#This Row],[sales]]&lt;1000,"Low Sales")))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5" t="str">
        <f>PROPER(DMart_Sales_Data[[#This Row],[city]])</f>
        <v>Pune</v>
      </c>
      <c r="O310" s="17" t="s">
        <v>47</v>
      </c>
      <c r="P310" s="66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25">
      <c r="A311" s="8" t="s">
        <v>352</v>
      </c>
      <c r="B311" s="9" t="s">
        <v>575</v>
      </c>
      <c r="C311" s="4" t="s">
        <v>575</v>
      </c>
      <c r="D311" s="10" t="s">
        <v>36</v>
      </c>
      <c r="E311" s="10">
        <v>815.74</v>
      </c>
      <c r="F311" s="10" t="str">
        <f>IF(DMart_Sales_Data[[#This Row],[sales]]&gt;=3000,"High Sales",IF(DMart_Sales_Data[[#This Row],[sales]]&gt;=1000,"Medium Sales",IF(DMart_Sales_Data[[#This Row],[sales]]&lt;1000,"Low Sales")))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5" t="str">
        <f>PROPER(DMart_Sales_Data[[#This Row],[city]])</f>
        <v>Hyderabad</v>
      </c>
      <c r="O311" s="12" t="s">
        <v>29</v>
      </c>
      <c r="P311" s="66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25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15" t="str">
        <f>IF(DMart_Sales_Data[[#This Row],[sales]]&gt;=3000,"High Sales",IF(DMart_Sales_Data[[#This Row],[sales]]&gt;=1000,"Medium Sales",IF(DMart_Sales_Data[[#This Row],[sales]]&lt;1000,"Low Sales")))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5" t="str">
        <f>PROPER(DMart_Sales_Data[[#This Row],[city]])</f>
        <v>Delhi</v>
      </c>
      <c r="O312" s="17" t="s">
        <v>99</v>
      </c>
      <c r="P312" s="66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25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10" t="str">
        <f>IF(DMart_Sales_Data[[#This Row],[sales]]&gt;=3000,"High Sales",IF(DMart_Sales_Data[[#This Row],[sales]]&gt;=1000,"Medium Sales",IF(DMart_Sales_Data[[#This Row],[sales]]&lt;1000,"Low Sales")))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5" t="str">
        <f>PROPER(DMart_Sales_Data[[#This Row],[city]])</f>
        <v>Mumbai</v>
      </c>
      <c r="O313" s="12" t="s">
        <v>54</v>
      </c>
      <c r="P313" s="66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25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15" t="str">
        <f>IF(DMart_Sales_Data[[#This Row],[sales]]&gt;=3000,"High Sales",IF(DMart_Sales_Data[[#This Row],[sales]]&gt;=1000,"Medium Sales",IF(DMart_Sales_Data[[#This Row],[sales]]&lt;1000,"Low Sales")))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5" t="str">
        <f>PROPER(DMart_Sales_Data[[#This Row],[city]])</f>
        <v>Delhi</v>
      </c>
      <c r="O314" s="17" t="s">
        <v>62</v>
      </c>
      <c r="P314" s="66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25">
      <c r="A315" s="8" t="s">
        <v>356</v>
      </c>
      <c r="B315" s="9" t="s">
        <v>575</v>
      </c>
      <c r="C315" s="4" t="s">
        <v>575</v>
      </c>
      <c r="D315" s="10" t="s">
        <v>24</v>
      </c>
      <c r="E315" s="10">
        <v>975.4</v>
      </c>
      <c r="F315" s="10" t="str">
        <f>IF(DMart_Sales_Data[[#This Row],[sales]]&gt;=3000,"High Sales",IF(DMart_Sales_Data[[#This Row],[sales]]&gt;=1000,"Medium Sales",IF(DMart_Sales_Data[[#This Row],[sales]]&lt;1000,"Low Sales")))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5" t="str">
        <f>PROPER(DMart_Sales_Data[[#This Row],[city]])</f>
        <v>Hyderabad</v>
      </c>
      <c r="O315" s="12" t="s">
        <v>57</v>
      </c>
      <c r="P315" s="66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25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15" t="str">
        <f>IF(DMart_Sales_Data[[#This Row],[sales]]&gt;=3000,"High Sales",IF(DMart_Sales_Data[[#This Row],[sales]]&gt;=1000,"Medium Sales",IF(DMart_Sales_Data[[#This Row],[sales]]&lt;1000,"Low Sales")))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5" t="str">
        <f>PROPER(DMart_Sales_Data[[#This Row],[city]])</f>
        <v>Hyderabad</v>
      </c>
      <c r="O316" s="17" t="s">
        <v>57</v>
      </c>
      <c r="P316" s="66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25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10" t="str">
        <f>IF(DMart_Sales_Data[[#This Row],[sales]]&gt;=3000,"High Sales",IF(DMart_Sales_Data[[#This Row],[sales]]&gt;=1000,"Medium Sales",IF(DMart_Sales_Data[[#This Row],[sales]]&lt;1000,"Low Sales")))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5" t="str">
        <f>PROPER(DMart_Sales_Data[[#This Row],[city]])</f>
        <v>Bangalore</v>
      </c>
      <c r="O317" s="12" t="s">
        <v>94</v>
      </c>
      <c r="P317" s="66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25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15" t="str">
        <f>IF(DMart_Sales_Data[[#This Row],[sales]]&gt;=3000,"High Sales",IF(DMart_Sales_Data[[#This Row],[sales]]&gt;=1000,"Medium Sales",IF(DMart_Sales_Data[[#This Row],[sales]]&lt;1000,"Low Sales")))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5" t="str">
        <f>PROPER(DMart_Sales_Data[[#This Row],[city]])</f>
        <v>Mumbai</v>
      </c>
      <c r="O318" s="17" t="s">
        <v>78</v>
      </c>
      <c r="P318" s="66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25">
      <c r="A319" s="8" t="s">
        <v>360</v>
      </c>
      <c r="B319" s="9" t="s">
        <v>575</v>
      </c>
      <c r="C319" s="4" t="s">
        <v>575</v>
      </c>
      <c r="D319" s="10" t="s">
        <v>13</v>
      </c>
      <c r="E319" s="10">
        <v>4163.34</v>
      </c>
      <c r="F319" s="10" t="str">
        <f>IF(DMart_Sales_Data[[#This Row],[sales]]&gt;=3000,"High Sales",IF(DMart_Sales_Data[[#This Row],[sales]]&gt;=1000,"Medium Sales",IF(DMart_Sales_Data[[#This Row],[sales]]&lt;1000,"Low Sales")))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5" t="str">
        <f>PROPER(DMart_Sales_Data[[#This Row],[city]])</f>
        <v>Delhi</v>
      </c>
      <c r="O319" s="12" t="s">
        <v>64</v>
      </c>
      <c r="P319" s="66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25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15" t="str">
        <f>IF(DMart_Sales_Data[[#This Row],[sales]]&gt;=3000,"High Sales",IF(DMart_Sales_Data[[#This Row],[sales]]&gt;=1000,"Medium Sales",IF(DMart_Sales_Data[[#This Row],[sales]]&lt;1000,"Low Sales")))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5" t="str">
        <f>PROPER(DMart_Sales_Data[[#This Row],[city]])</f>
        <v>Hyderabad</v>
      </c>
      <c r="O320" s="17" t="s">
        <v>57</v>
      </c>
      <c r="P320" s="66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25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10" t="str">
        <f>IF(DMart_Sales_Data[[#This Row],[sales]]&gt;=3000,"High Sales",IF(DMart_Sales_Data[[#This Row],[sales]]&gt;=1000,"Medium Sales",IF(DMart_Sales_Data[[#This Row],[sales]]&lt;1000,"Low Sales")))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5" t="str">
        <f>PROPER(DMart_Sales_Data[[#This Row],[city]])</f>
        <v>Chennai</v>
      </c>
      <c r="O321" s="12" t="s">
        <v>40</v>
      </c>
      <c r="P321" s="66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25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15" t="str">
        <f>IF(DMart_Sales_Data[[#This Row],[sales]]&gt;=3000,"High Sales",IF(DMart_Sales_Data[[#This Row],[sales]]&gt;=1000,"Medium Sales",IF(DMart_Sales_Data[[#This Row],[sales]]&lt;1000,"Low Sales")))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5" t="str">
        <f>PROPER(DMart_Sales_Data[[#This Row],[city]])</f>
        <v>Hyderabad</v>
      </c>
      <c r="O322" s="17" t="s">
        <v>57</v>
      </c>
      <c r="P322" s="66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25">
      <c r="A323" s="8" t="s">
        <v>364</v>
      </c>
      <c r="B323" s="9" t="s">
        <v>575</v>
      </c>
      <c r="C323" s="4" t="s">
        <v>575</v>
      </c>
      <c r="D323" s="10" t="s">
        <v>36</v>
      </c>
      <c r="E323" s="10">
        <v>1393.68</v>
      </c>
      <c r="F323" s="10" t="str">
        <f>IF(DMart_Sales_Data[[#This Row],[sales]]&gt;=3000,"High Sales",IF(DMart_Sales_Data[[#This Row],[sales]]&gt;=1000,"Medium Sales",IF(DMart_Sales_Data[[#This Row],[sales]]&lt;1000,"Low Sales")))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5" t="str">
        <f>PROPER(DMart_Sales_Data[[#This Row],[city]])</f>
        <v>Delhi</v>
      </c>
      <c r="O323" s="12" t="s">
        <v>99</v>
      </c>
      <c r="P323" s="66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25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15" t="str">
        <f>IF(DMart_Sales_Data[[#This Row],[sales]]&gt;=3000,"High Sales",IF(DMart_Sales_Data[[#This Row],[sales]]&gt;=1000,"Medium Sales",IF(DMart_Sales_Data[[#This Row],[sales]]&lt;1000,"Low Sales")))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5" t="str">
        <f>PROPER(DMart_Sales_Data[[#This Row],[city]])</f>
        <v>Chennai</v>
      </c>
      <c r="O324" s="17" t="s">
        <v>40</v>
      </c>
      <c r="P324" s="66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25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10" t="str">
        <f>IF(DMart_Sales_Data[[#This Row],[sales]]&gt;=3000,"High Sales",IF(DMart_Sales_Data[[#This Row],[sales]]&gt;=1000,"Medium Sales",IF(DMart_Sales_Data[[#This Row],[sales]]&lt;1000,"Low Sales")))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5" t="str">
        <f>PROPER(DMart_Sales_Data[[#This Row],[city]])</f>
        <v>Mumbai</v>
      </c>
      <c r="O325" s="12" t="s">
        <v>21</v>
      </c>
      <c r="P325" s="66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25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15" t="str">
        <f>IF(DMart_Sales_Data[[#This Row],[sales]]&gt;=3000,"High Sales",IF(DMart_Sales_Data[[#This Row],[sales]]&gt;=1000,"Medium Sales",IF(DMart_Sales_Data[[#This Row],[sales]]&lt;1000,"Low Sales")))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5" t="str">
        <f>PROPER(DMart_Sales_Data[[#This Row],[city]])</f>
        <v>Bangalore</v>
      </c>
      <c r="O326" s="17" t="s">
        <v>94</v>
      </c>
      <c r="P326" s="66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25">
      <c r="A327" s="8" t="s">
        <v>368</v>
      </c>
      <c r="B327" s="9" t="s">
        <v>575</v>
      </c>
      <c r="C327" s="4" t="s">
        <v>575</v>
      </c>
      <c r="D327" s="10" t="s">
        <v>36</v>
      </c>
      <c r="E327" s="10">
        <v>2066.15</v>
      </c>
      <c r="F327" s="10" t="str">
        <f>IF(DMart_Sales_Data[[#This Row],[sales]]&gt;=3000,"High Sales",IF(DMart_Sales_Data[[#This Row],[sales]]&gt;=1000,"Medium Sales",IF(DMart_Sales_Data[[#This Row],[sales]]&lt;1000,"Low Sales")))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5" t="str">
        <f>PROPER(DMart_Sales_Data[[#This Row],[city]])</f>
        <v>Mumbai</v>
      </c>
      <c r="O327" s="12" t="s">
        <v>54</v>
      </c>
      <c r="P327" s="66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25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15" t="str">
        <f>IF(DMart_Sales_Data[[#This Row],[sales]]&gt;=3000,"High Sales",IF(DMart_Sales_Data[[#This Row],[sales]]&gt;=1000,"Medium Sales",IF(DMart_Sales_Data[[#This Row],[sales]]&lt;1000,"Low Sales")))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5" t="str">
        <f>PROPER(DMart_Sales_Data[[#This Row],[city]])</f>
        <v>Hyderabad</v>
      </c>
      <c r="O328" s="17" t="s">
        <v>34</v>
      </c>
      <c r="P328" s="66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25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10" t="str">
        <f>IF(DMart_Sales_Data[[#This Row],[sales]]&gt;=3000,"High Sales",IF(DMart_Sales_Data[[#This Row],[sales]]&gt;=1000,"Medium Sales",IF(DMart_Sales_Data[[#This Row],[sales]]&lt;1000,"Low Sales")))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5" t="str">
        <f>PROPER(DMart_Sales_Data[[#This Row],[city]])</f>
        <v>Chennai</v>
      </c>
      <c r="O329" s="12" t="s">
        <v>43</v>
      </c>
      <c r="P329" s="66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25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15" t="str">
        <f>IF(DMart_Sales_Data[[#This Row],[sales]]&gt;=3000,"High Sales",IF(DMart_Sales_Data[[#This Row],[sales]]&gt;=1000,"Medium Sales",IF(DMart_Sales_Data[[#This Row],[sales]]&lt;1000,"Low Sales")))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5" t="str">
        <f>PROPER(DMart_Sales_Data[[#This Row],[city]])</f>
        <v>Hyderabad</v>
      </c>
      <c r="O330" s="17" t="s">
        <v>57</v>
      </c>
      <c r="P330" s="66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25">
      <c r="A331" s="8" t="s">
        <v>372</v>
      </c>
      <c r="B331" s="9" t="s">
        <v>575</v>
      </c>
      <c r="C331" s="4" t="s">
        <v>575</v>
      </c>
      <c r="D331" s="10" t="s">
        <v>13</v>
      </c>
      <c r="E331" s="10">
        <v>3929.89</v>
      </c>
      <c r="F331" s="10" t="str">
        <f>IF(DMart_Sales_Data[[#This Row],[sales]]&gt;=3000,"High Sales",IF(DMart_Sales_Data[[#This Row],[sales]]&gt;=1000,"Medium Sales",IF(DMart_Sales_Data[[#This Row],[sales]]&lt;1000,"Low Sales")))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5" t="str">
        <f>PROPER(DMart_Sales_Data[[#This Row],[city]])</f>
        <v>Mumbai</v>
      </c>
      <c r="O331" s="12" t="s">
        <v>78</v>
      </c>
      <c r="P331" s="66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25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15" t="str">
        <f>IF(DMart_Sales_Data[[#This Row],[sales]]&gt;=3000,"High Sales",IF(DMart_Sales_Data[[#This Row],[sales]]&gt;=1000,"Medium Sales",IF(DMart_Sales_Data[[#This Row],[sales]]&lt;1000,"Low Sales")))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5" t="str">
        <f>PROPER(DMart_Sales_Data[[#This Row],[city]])</f>
        <v>Mumbai</v>
      </c>
      <c r="O332" s="17" t="s">
        <v>54</v>
      </c>
      <c r="P332" s="66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25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10" t="str">
        <f>IF(DMart_Sales_Data[[#This Row],[sales]]&gt;=3000,"High Sales",IF(DMart_Sales_Data[[#This Row],[sales]]&gt;=1000,"Medium Sales",IF(DMart_Sales_Data[[#This Row],[sales]]&lt;1000,"Low Sales")))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5" t="str">
        <f>PROPER(DMart_Sales_Data[[#This Row],[city]])</f>
        <v>Bangalore</v>
      </c>
      <c r="O333" s="12" t="s">
        <v>16</v>
      </c>
      <c r="P333" s="66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25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15" t="str">
        <f>IF(DMart_Sales_Data[[#This Row],[sales]]&gt;=3000,"High Sales",IF(DMart_Sales_Data[[#This Row],[sales]]&gt;=1000,"Medium Sales",IF(DMart_Sales_Data[[#This Row],[sales]]&lt;1000,"Low Sales")))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5" t="str">
        <f>PROPER(DMart_Sales_Data[[#This Row],[city]])</f>
        <v>Chennai</v>
      </c>
      <c r="O334" s="17" t="s">
        <v>43</v>
      </c>
      <c r="P334" s="66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25">
      <c r="A335" s="8" t="s">
        <v>376</v>
      </c>
      <c r="B335" s="9" t="s">
        <v>575</v>
      </c>
      <c r="C335" s="4" t="s">
        <v>575</v>
      </c>
      <c r="D335" s="10" t="s">
        <v>18</v>
      </c>
      <c r="E335" s="10">
        <v>1457.12</v>
      </c>
      <c r="F335" s="10" t="str">
        <f>IF(DMart_Sales_Data[[#This Row],[sales]]&gt;=3000,"High Sales",IF(DMart_Sales_Data[[#This Row],[sales]]&gt;=1000,"Medium Sales",IF(DMart_Sales_Data[[#This Row],[sales]]&lt;1000,"Low Sales")))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5" t="str">
        <f>PROPER(DMart_Sales_Data[[#This Row],[city]])</f>
        <v>Mumbai</v>
      </c>
      <c r="O335" s="12" t="s">
        <v>54</v>
      </c>
      <c r="P335" s="66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25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5" t="str">
        <f>PROPER(DMart_Sales_Data[[#This Row],[city]])</f>
        <v>Delhi</v>
      </c>
      <c r="O336" s="17" t="s">
        <v>99</v>
      </c>
      <c r="P336" s="66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25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10" t="str">
        <f>IF(DMart_Sales_Data[[#This Row],[sales]]&gt;=3000,"High Sales",IF(DMart_Sales_Data[[#This Row],[sales]]&gt;=1000,"Medium Sales",IF(DMart_Sales_Data[[#This Row],[sales]]&lt;1000,"Low Sales")))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5" t="str">
        <f>PROPER(DMart_Sales_Data[[#This Row],[city]])</f>
        <v>Delhi</v>
      </c>
      <c r="O337" s="12" t="s">
        <v>99</v>
      </c>
      <c r="P337" s="66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25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5" t="str">
        <f>PROPER(DMart_Sales_Data[[#This Row],[city]])</f>
        <v>Bangalore</v>
      </c>
      <c r="O338" s="17" t="s">
        <v>16</v>
      </c>
      <c r="P338" s="66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25">
      <c r="A339" s="8" t="s">
        <v>380</v>
      </c>
      <c r="B339" s="9" t="s">
        <v>575</v>
      </c>
      <c r="C339" s="4" t="s">
        <v>575</v>
      </c>
      <c r="D339" s="10" t="s">
        <v>33</v>
      </c>
      <c r="E339" s="10">
        <v>3398.39</v>
      </c>
      <c r="F339" s="10" t="str">
        <f>IF(DMart_Sales_Data[[#This Row],[sales]]&gt;=3000,"High Sales",IF(DMart_Sales_Data[[#This Row],[sales]]&gt;=1000,"Medium Sales",IF(DMart_Sales_Data[[#This Row],[sales]]&lt;1000,"Low Sales")))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5" t="str">
        <f>PROPER(DMart_Sales_Data[[#This Row],[city]])</f>
        <v>Delhi</v>
      </c>
      <c r="O339" s="12" t="s">
        <v>62</v>
      </c>
      <c r="P339" s="66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25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15" t="str">
        <f>IF(DMart_Sales_Data[[#This Row],[sales]]&gt;=3000,"High Sales",IF(DMart_Sales_Data[[#This Row],[sales]]&gt;=1000,"Medium Sales",IF(DMart_Sales_Data[[#This Row],[sales]]&lt;1000,"Low Sales")))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5" t="str">
        <f>PROPER(DMart_Sales_Data[[#This Row],[city]])</f>
        <v>Pune</v>
      </c>
      <c r="O340" s="17" t="s">
        <v>47</v>
      </c>
      <c r="P340" s="66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25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10" t="str">
        <f>IF(DMart_Sales_Data[[#This Row],[sales]]&gt;=3000,"High Sales",IF(DMart_Sales_Data[[#This Row],[sales]]&gt;=1000,"Medium Sales",IF(DMart_Sales_Data[[#This Row],[sales]]&lt;1000,"Low Sales")))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5" t="str">
        <f>PROPER(DMart_Sales_Data[[#This Row],[city]])</f>
        <v>Mumbai</v>
      </c>
      <c r="O341" s="12" t="s">
        <v>54</v>
      </c>
      <c r="P341" s="66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25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15" t="str">
        <f>IF(DMart_Sales_Data[[#This Row],[sales]]&gt;=3000,"High Sales",IF(DMart_Sales_Data[[#This Row],[sales]]&gt;=1000,"Medium Sales",IF(DMart_Sales_Data[[#This Row],[sales]]&lt;1000,"Low Sales")))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5" t="str">
        <f>PROPER(DMart_Sales_Data[[#This Row],[city]])</f>
        <v>Hyderabad</v>
      </c>
      <c r="O342" s="17" t="s">
        <v>29</v>
      </c>
      <c r="P342" s="66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25">
      <c r="A343" s="8" t="s">
        <v>384</v>
      </c>
      <c r="B343" s="9" t="s">
        <v>575</v>
      </c>
      <c r="C343" s="4" t="s">
        <v>575</v>
      </c>
      <c r="D343" s="10" t="s">
        <v>24</v>
      </c>
      <c r="E343" s="10">
        <v>2320.5500000000002</v>
      </c>
      <c r="F343" s="10" t="str">
        <f>IF(DMart_Sales_Data[[#This Row],[sales]]&gt;=3000,"High Sales",IF(DMart_Sales_Data[[#This Row],[sales]]&gt;=1000,"Medium Sales",IF(DMart_Sales_Data[[#This Row],[sales]]&lt;1000,"Low Sales")))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5" t="str">
        <f>PROPER(DMart_Sales_Data[[#This Row],[city]])</f>
        <v>Mumbai</v>
      </c>
      <c r="O343" s="12" t="s">
        <v>54</v>
      </c>
      <c r="P343" s="66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25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5" t="str">
        <f>PROPER(DMart_Sales_Data[[#This Row],[city]])</f>
        <v>Hyderabad</v>
      </c>
      <c r="O344" s="17" t="s">
        <v>29</v>
      </c>
      <c r="P344" s="66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25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10" t="str">
        <f>IF(DMart_Sales_Data[[#This Row],[sales]]&gt;=3000,"High Sales",IF(DMart_Sales_Data[[#This Row],[sales]]&gt;=1000,"Medium Sales",IF(DMart_Sales_Data[[#This Row],[sales]]&lt;1000,"Low Sales")))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5" t="str">
        <f>PROPER(DMart_Sales_Data[[#This Row],[city]])</f>
        <v>Bangalore</v>
      </c>
      <c r="O345" s="12" t="s">
        <v>51</v>
      </c>
      <c r="P345" s="66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25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15" t="str">
        <f>IF(DMart_Sales_Data[[#This Row],[sales]]&gt;=3000,"High Sales",IF(DMart_Sales_Data[[#This Row],[sales]]&gt;=1000,"Medium Sales",IF(DMart_Sales_Data[[#This Row],[sales]]&lt;1000,"Low Sales")))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5" t="str">
        <f>PROPER(DMart_Sales_Data[[#This Row],[city]])</f>
        <v>Bangalore</v>
      </c>
      <c r="O346" s="17" t="s">
        <v>94</v>
      </c>
      <c r="P346" s="66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25">
      <c r="A347" s="8" t="s">
        <v>388</v>
      </c>
      <c r="B347" s="9" t="s">
        <v>575</v>
      </c>
      <c r="C347" s="4" t="s">
        <v>575</v>
      </c>
      <c r="D347" s="10" t="s">
        <v>18</v>
      </c>
      <c r="E347" s="10">
        <v>2401.7800000000002</v>
      </c>
      <c r="F347" s="10" t="str">
        <f>IF(DMart_Sales_Data[[#This Row],[sales]]&gt;=3000,"High Sales",IF(DMart_Sales_Data[[#This Row],[sales]]&gt;=1000,"Medium Sales",IF(DMart_Sales_Data[[#This Row],[sales]]&lt;1000,"Low Sales")))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5" t="str">
        <f>PROPER(DMart_Sales_Data[[#This Row],[city]])</f>
        <v>Hyderabad</v>
      </c>
      <c r="O347" s="12" t="s">
        <v>57</v>
      </c>
      <c r="P347" s="66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25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15" t="str">
        <f>IF(DMart_Sales_Data[[#This Row],[sales]]&gt;=3000,"High Sales",IF(DMart_Sales_Data[[#This Row],[sales]]&gt;=1000,"Medium Sales",IF(DMart_Sales_Data[[#This Row],[sales]]&lt;1000,"Low Sales")))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5" t="str">
        <f>PROPER(DMart_Sales_Data[[#This Row],[city]])</f>
        <v>Bangalore</v>
      </c>
      <c r="O348" s="17" t="s">
        <v>51</v>
      </c>
      <c r="P348" s="66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25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10" t="str">
        <f>IF(DMart_Sales_Data[[#This Row],[sales]]&gt;=3000,"High Sales",IF(DMart_Sales_Data[[#This Row],[sales]]&gt;=1000,"Medium Sales",IF(DMart_Sales_Data[[#This Row],[sales]]&lt;1000,"Low Sales")))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5" t="str">
        <f>PROPER(DMart_Sales_Data[[#This Row],[city]])</f>
        <v>Chennai</v>
      </c>
      <c r="O349" s="12" t="s">
        <v>43</v>
      </c>
      <c r="P349" s="66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25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15" t="str">
        <f>IF(DMart_Sales_Data[[#This Row],[sales]]&gt;=3000,"High Sales",IF(DMart_Sales_Data[[#This Row],[sales]]&gt;=1000,"Medium Sales",IF(DMart_Sales_Data[[#This Row],[sales]]&lt;1000,"Low Sales")))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5" t="str">
        <f>PROPER(DMart_Sales_Data[[#This Row],[city]])</f>
        <v>Bangalore</v>
      </c>
      <c r="O350" s="17" t="s">
        <v>16</v>
      </c>
      <c r="P350" s="66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25">
      <c r="A351" s="8" t="s">
        <v>392</v>
      </c>
      <c r="B351" s="9" t="s">
        <v>575</v>
      </c>
      <c r="C351" s="4" t="s">
        <v>575</v>
      </c>
      <c r="D351" s="10" t="s">
        <v>13</v>
      </c>
      <c r="E351" s="10">
        <v>590.61</v>
      </c>
      <c r="F351" s="10" t="str">
        <f>IF(DMart_Sales_Data[[#This Row],[sales]]&gt;=3000,"High Sales",IF(DMart_Sales_Data[[#This Row],[sales]]&gt;=1000,"Medium Sales",IF(DMart_Sales_Data[[#This Row],[sales]]&lt;1000,"Low Sales")))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5" t="str">
        <f>PROPER(DMart_Sales_Data[[#This Row],[city]])</f>
        <v>Delhi</v>
      </c>
      <c r="O351" s="12" t="s">
        <v>62</v>
      </c>
      <c r="P351" s="66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25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15" t="str">
        <f>IF(DMart_Sales_Data[[#This Row],[sales]]&gt;=3000,"High Sales",IF(DMart_Sales_Data[[#This Row],[sales]]&gt;=1000,"Medium Sales",IF(DMart_Sales_Data[[#This Row],[sales]]&lt;1000,"Low Sales")))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5" t="str">
        <f>PROPER(DMart_Sales_Data[[#This Row],[city]])</f>
        <v>Pune</v>
      </c>
      <c r="O352" s="17" t="s">
        <v>26</v>
      </c>
      <c r="P352" s="66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25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10" t="str">
        <f>IF(DMart_Sales_Data[[#This Row],[sales]]&gt;=3000,"High Sales",IF(DMart_Sales_Data[[#This Row],[sales]]&gt;=1000,"Medium Sales",IF(DMart_Sales_Data[[#This Row],[sales]]&lt;1000,"Low Sales")))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5" t="str">
        <f>PROPER(DMart_Sales_Data[[#This Row],[city]])</f>
        <v>Mumbai</v>
      </c>
      <c r="O353" s="12" t="s">
        <v>78</v>
      </c>
      <c r="P353" s="66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25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15" t="str">
        <f>IF(DMart_Sales_Data[[#This Row],[sales]]&gt;=3000,"High Sales",IF(DMart_Sales_Data[[#This Row],[sales]]&gt;=1000,"Medium Sales",IF(DMart_Sales_Data[[#This Row],[sales]]&lt;1000,"Low Sales")))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5" t="str">
        <f>PROPER(DMart_Sales_Data[[#This Row],[city]])</f>
        <v>Mumbai</v>
      </c>
      <c r="O354" s="17" t="s">
        <v>54</v>
      </c>
      <c r="P354" s="66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25">
      <c r="A355" s="8" t="s">
        <v>396</v>
      </c>
      <c r="B355" s="9" t="s">
        <v>575</v>
      </c>
      <c r="C355" s="4" t="s">
        <v>575</v>
      </c>
      <c r="D355" s="10" t="s">
        <v>18</v>
      </c>
      <c r="E355" s="10">
        <v>3284.02</v>
      </c>
      <c r="F355" s="10" t="str">
        <f>IF(DMart_Sales_Data[[#This Row],[sales]]&gt;=3000,"High Sales",IF(DMart_Sales_Data[[#This Row],[sales]]&gt;=1000,"Medium Sales",IF(DMart_Sales_Data[[#This Row],[sales]]&lt;1000,"Low Sales")))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5" t="str">
        <f>PROPER(DMart_Sales_Data[[#This Row],[city]])</f>
        <v>Delhi</v>
      </c>
      <c r="O355" s="12" t="s">
        <v>99</v>
      </c>
      <c r="P355" s="66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25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15" t="str">
        <f>IF(DMart_Sales_Data[[#This Row],[sales]]&gt;=3000,"High Sales",IF(DMart_Sales_Data[[#This Row],[sales]]&gt;=1000,"Medium Sales",IF(DMart_Sales_Data[[#This Row],[sales]]&lt;1000,"Low Sales")))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5" t="str">
        <f>PROPER(DMart_Sales_Data[[#This Row],[city]])</f>
        <v>Delhi</v>
      </c>
      <c r="O356" s="17" t="s">
        <v>99</v>
      </c>
      <c r="P356" s="66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25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10" t="str">
        <f>IF(DMart_Sales_Data[[#This Row],[sales]]&gt;=3000,"High Sales",IF(DMart_Sales_Data[[#This Row],[sales]]&gt;=1000,"Medium Sales",IF(DMart_Sales_Data[[#This Row],[sales]]&lt;1000,"Low Sales")))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5" t="str">
        <f>PROPER(DMart_Sales_Data[[#This Row],[city]])</f>
        <v>Bangalore</v>
      </c>
      <c r="O357" s="12" t="s">
        <v>94</v>
      </c>
      <c r="P357" s="66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25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15" t="str">
        <f>IF(DMart_Sales_Data[[#This Row],[sales]]&gt;=3000,"High Sales",IF(DMart_Sales_Data[[#This Row],[sales]]&gt;=1000,"Medium Sales",IF(DMart_Sales_Data[[#This Row],[sales]]&lt;1000,"Low Sales")))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5" t="str">
        <f>PROPER(DMart_Sales_Data[[#This Row],[city]])</f>
        <v>Bangalore</v>
      </c>
      <c r="O358" s="17" t="s">
        <v>51</v>
      </c>
      <c r="P358" s="66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25">
      <c r="A359" s="8" t="s">
        <v>400</v>
      </c>
      <c r="B359" s="9" t="s">
        <v>575</v>
      </c>
      <c r="C359" s="4" t="s">
        <v>575</v>
      </c>
      <c r="D359" s="10" t="s">
        <v>24</v>
      </c>
      <c r="E359" s="10">
        <v>3678.5</v>
      </c>
      <c r="F359" s="10" t="str">
        <f>IF(DMart_Sales_Data[[#This Row],[sales]]&gt;=3000,"High Sales",IF(DMart_Sales_Data[[#This Row],[sales]]&gt;=1000,"Medium Sales",IF(DMart_Sales_Data[[#This Row],[sales]]&lt;1000,"Low Sales")))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5" t="str">
        <f>PROPER(DMart_Sales_Data[[#This Row],[city]])</f>
        <v>Pune</v>
      </c>
      <c r="O359" s="12" t="s">
        <v>26</v>
      </c>
      <c r="P359" s="66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25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15" t="str">
        <f>IF(DMart_Sales_Data[[#This Row],[sales]]&gt;=3000,"High Sales",IF(DMart_Sales_Data[[#This Row],[sales]]&gt;=1000,"Medium Sales",IF(DMart_Sales_Data[[#This Row],[sales]]&lt;1000,"Low Sales")))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5" t="str">
        <f>PROPER(DMart_Sales_Data[[#This Row],[city]])</f>
        <v>Mumbai</v>
      </c>
      <c r="O360" s="17" t="s">
        <v>78</v>
      </c>
      <c r="P360" s="66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25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10" t="str">
        <f>IF(DMart_Sales_Data[[#This Row],[sales]]&gt;=3000,"High Sales",IF(DMart_Sales_Data[[#This Row],[sales]]&gt;=1000,"Medium Sales",IF(DMart_Sales_Data[[#This Row],[sales]]&lt;1000,"Low Sales")))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5" t="str">
        <f>PROPER(DMart_Sales_Data[[#This Row],[city]])</f>
        <v>Delhi</v>
      </c>
      <c r="O361" s="12" t="s">
        <v>99</v>
      </c>
      <c r="P361" s="66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25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15" t="str">
        <f>IF(DMart_Sales_Data[[#This Row],[sales]]&gt;=3000,"High Sales",IF(DMart_Sales_Data[[#This Row],[sales]]&gt;=1000,"Medium Sales",IF(DMart_Sales_Data[[#This Row],[sales]]&lt;1000,"Low Sales")))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5" t="str">
        <f>PROPER(DMart_Sales_Data[[#This Row],[city]])</f>
        <v>Mumbai</v>
      </c>
      <c r="O362" s="17" t="s">
        <v>54</v>
      </c>
      <c r="P362" s="66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25">
      <c r="A363" s="8" t="s">
        <v>404</v>
      </c>
      <c r="B363" s="9" t="s">
        <v>575</v>
      </c>
      <c r="C363" s="4" t="s">
        <v>575</v>
      </c>
      <c r="D363" s="10" t="s">
        <v>36</v>
      </c>
      <c r="E363" s="10">
        <v>4427.0200000000004</v>
      </c>
      <c r="F363" s="10" t="str">
        <f>IF(DMart_Sales_Data[[#This Row],[sales]]&gt;=3000,"High Sales",IF(DMart_Sales_Data[[#This Row],[sales]]&gt;=1000,"Medium Sales",IF(DMart_Sales_Data[[#This Row],[sales]]&lt;1000,"Low Sales")))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5" t="str">
        <f>PROPER(DMart_Sales_Data[[#This Row],[city]])</f>
        <v>Pune</v>
      </c>
      <c r="O363" s="12" t="s">
        <v>26</v>
      </c>
      <c r="P363" s="66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25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15" t="str">
        <f>IF(DMart_Sales_Data[[#This Row],[sales]]&gt;=3000,"High Sales",IF(DMart_Sales_Data[[#This Row],[sales]]&gt;=1000,"Medium Sales",IF(DMart_Sales_Data[[#This Row],[sales]]&lt;1000,"Low Sales")))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5" t="str">
        <f>PROPER(DMart_Sales_Data[[#This Row],[city]])</f>
        <v>Delhi</v>
      </c>
      <c r="O364" s="17" t="s">
        <v>62</v>
      </c>
      <c r="P364" s="66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25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10" t="str">
        <f>IF(DMart_Sales_Data[[#This Row],[sales]]&gt;=3000,"High Sales",IF(DMart_Sales_Data[[#This Row],[sales]]&gt;=1000,"Medium Sales",IF(DMart_Sales_Data[[#This Row],[sales]]&lt;1000,"Low Sales")))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5" t="str">
        <f>PROPER(DMart_Sales_Data[[#This Row],[city]])</f>
        <v>Mumbai</v>
      </c>
      <c r="O365" s="12" t="s">
        <v>21</v>
      </c>
      <c r="P365" s="66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25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5" t="str">
        <f>PROPER(DMart_Sales_Data[[#This Row],[city]])</f>
        <v>Pune</v>
      </c>
      <c r="O366" s="17" t="s">
        <v>26</v>
      </c>
      <c r="P366" s="66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25">
      <c r="A367" s="8" t="s">
        <v>408</v>
      </c>
      <c r="B367" s="9" t="s">
        <v>575</v>
      </c>
      <c r="C367" s="4" t="s">
        <v>575</v>
      </c>
      <c r="D367" s="10" t="s">
        <v>18</v>
      </c>
      <c r="E367" s="10">
        <v>3868.91</v>
      </c>
      <c r="F367" s="10" t="str">
        <f>IF(DMart_Sales_Data[[#This Row],[sales]]&gt;=3000,"High Sales",IF(DMart_Sales_Data[[#This Row],[sales]]&gt;=1000,"Medium Sales",IF(DMart_Sales_Data[[#This Row],[sales]]&lt;1000,"Low Sales")))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5" t="str">
        <f>PROPER(DMart_Sales_Data[[#This Row],[city]])</f>
        <v>Bangalore</v>
      </c>
      <c r="O367" s="12" t="s">
        <v>94</v>
      </c>
      <c r="P367" s="66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25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15" t="str">
        <f>IF(DMart_Sales_Data[[#This Row],[sales]]&gt;=3000,"High Sales",IF(DMart_Sales_Data[[#This Row],[sales]]&gt;=1000,"Medium Sales",IF(DMart_Sales_Data[[#This Row],[sales]]&lt;1000,"Low Sales")))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5" t="str">
        <f>PROPER(DMart_Sales_Data[[#This Row],[city]])</f>
        <v>Hyderabad</v>
      </c>
      <c r="O368" s="17" t="s">
        <v>57</v>
      </c>
      <c r="P368" s="66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25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10" t="str">
        <f>IF(DMart_Sales_Data[[#This Row],[sales]]&gt;=3000,"High Sales",IF(DMart_Sales_Data[[#This Row],[sales]]&gt;=1000,"Medium Sales",IF(DMart_Sales_Data[[#This Row],[sales]]&lt;1000,"Low Sales")))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5" t="str">
        <f>PROPER(DMart_Sales_Data[[#This Row],[city]])</f>
        <v>Delhi</v>
      </c>
      <c r="O369" s="12" t="s">
        <v>62</v>
      </c>
      <c r="P369" s="66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25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15" t="str">
        <f>IF(DMart_Sales_Data[[#This Row],[sales]]&gt;=3000,"High Sales",IF(DMart_Sales_Data[[#This Row],[sales]]&gt;=1000,"Medium Sales",IF(DMart_Sales_Data[[#This Row],[sales]]&lt;1000,"Low Sales")))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5" t="str">
        <f>PROPER(DMart_Sales_Data[[#This Row],[city]])</f>
        <v>Mumbai</v>
      </c>
      <c r="O370" s="17" t="s">
        <v>54</v>
      </c>
      <c r="P370" s="66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25">
      <c r="A371" s="8" t="s">
        <v>412</v>
      </c>
      <c r="B371" s="9" t="s">
        <v>575</v>
      </c>
      <c r="C371" s="4" t="s">
        <v>575</v>
      </c>
      <c r="D371" s="10" t="s">
        <v>36</v>
      </c>
      <c r="E371" s="10">
        <v>4768.22</v>
      </c>
      <c r="F371" s="10" t="str">
        <f>IF(DMart_Sales_Data[[#This Row],[sales]]&gt;=3000,"High Sales",IF(DMart_Sales_Data[[#This Row],[sales]]&gt;=1000,"Medium Sales",IF(DMart_Sales_Data[[#This Row],[sales]]&lt;1000,"Low Sales")))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5" t="str">
        <f>PROPER(DMart_Sales_Data[[#This Row],[city]])</f>
        <v>Delhi</v>
      </c>
      <c r="O371" s="12" t="s">
        <v>64</v>
      </c>
      <c r="P371" s="66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25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15" t="str">
        <f>IF(DMart_Sales_Data[[#This Row],[sales]]&gt;=3000,"High Sales",IF(DMart_Sales_Data[[#This Row],[sales]]&gt;=1000,"Medium Sales",IF(DMart_Sales_Data[[#This Row],[sales]]&lt;1000,"Low Sales")))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5" t="str">
        <f>PROPER(DMart_Sales_Data[[#This Row],[city]])</f>
        <v>Chennai</v>
      </c>
      <c r="O372" s="17" t="s">
        <v>67</v>
      </c>
      <c r="P372" s="66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25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10" t="str">
        <f>IF(DMart_Sales_Data[[#This Row],[sales]]&gt;=3000,"High Sales",IF(DMart_Sales_Data[[#This Row],[sales]]&gt;=1000,"Medium Sales",IF(DMart_Sales_Data[[#This Row],[sales]]&lt;1000,"Low Sales")))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5" t="str">
        <f>PROPER(DMart_Sales_Data[[#This Row],[city]])</f>
        <v>Chennai</v>
      </c>
      <c r="O373" s="12" t="s">
        <v>40</v>
      </c>
      <c r="P373" s="66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25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15" t="str">
        <f>IF(DMart_Sales_Data[[#This Row],[sales]]&gt;=3000,"High Sales",IF(DMart_Sales_Data[[#This Row],[sales]]&gt;=1000,"Medium Sales",IF(DMart_Sales_Data[[#This Row],[sales]]&lt;1000,"Low Sales")))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5" t="str">
        <f>PROPER(DMart_Sales_Data[[#This Row],[city]])</f>
        <v>Bangalore</v>
      </c>
      <c r="O374" s="17" t="s">
        <v>16</v>
      </c>
      <c r="P374" s="66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25">
      <c r="A375" s="8" t="s">
        <v>416</v>
      </c>
      <c r="B375" s="9" t="s">
        <v>575</v>
      </c>
      <c r="C375" s="4" t="s">
        <v>575</v>
      </c>
      <c r="D375" s="10" t="s">
        <v>13</v>
      </c>
      <c r="E375" s="10">
        <v>654.17999999999995</v>
      </c>
      <c r="F375" s="10" t="str">
        <f>IF(DMart_Sales_Data[[#This Row],[sales]]&gt;=3000,"High Sales",IF(DMart_Sales_Data[[#This Row],[sales]]&gt;=1000,"Medium Sales",IF(DMart_Sales_Data[[#This Row],[sales]]&lt;1000,"Low Sales")))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5" t="str">
        <f>PROPER(DMart_Sales_Data[[#This Row],[city]])</f>
        <v>Hyderabad</v>
      </c>
      <c r="O375" s="12" t="s">
        <v>34</v>
      </c>
      <c r="P375" s="66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25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15" t="str">
        <f>IF(DMart_Sales_Data[[#This Row],[sales]]&gt;=3000,"High Sales",IF(DMart_Sales_Data[[#This Row],[sales]]&gt;=1000,"Medium Sales",IF(DMart_Sales_Data[[#This Row],[sales]]&lt;1000,"Low Sales")))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5" t="str">
        <f>PROPER(DMart_Sales_Data[[#This Row],[city]])</f>
        <v>Delhi</v>
      </c>
      <c r="O376" s="17" t="s">
        <v>99</v>
      </c>
      <c r="P376" s="66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25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10" t="str">
        <f>IF(DMart_Sales_Data[[#This Row],[sales]]&gt;=3000,"High Sales",IF(DMart_Sales_Data[[#This Row],[sales]]&gt;=1000,"Medium Sales",IF(DMart_Sales_Data[[#This Row],[sales]]&lt;1000,"Low Sales")))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5" t="str">
        <f>PROPER(DMart_Sales_Data[[#This Row],[city]])</f>
        <v>Delhi</v>
      </c>
      <c r="O377" s="12" t="s">
        <v>64</v>
      </c>
      <c r="P377" s="66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25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15" t="str">
        <f>IF(DMart_Sales_Data[[#This Row],[sales]]&gt;=3000,"High Sales",IF(DMart_Sales_Data[[#This Row],[sales]]&gt;=1000,"Medium Sales",IF(DMart_Sales_Data[[#This Row],[sales]]&lt;1000,"Low Sales")))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5" t="str">
        <f>PROPER(DMart_Sales_Data[[#This Row],[city]])</f>
        <v>Chennai</v>
      </c>
      <c r="O378" s="17" t="s">
        <v>40</v>
      </c>
      <c r="P378" s="66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25">
      <c r="A379" s="8" t="s">
        <v>420</v>
      </c>
      <c r="B379" s="9" t="s">
        <v>575</v>
      </c>
      <c r="C379" s="4" t="s">
        <v>575</v>
      </c>
      <c r="D379" s="10" t="s">
        <v>33</v>
      </c>
      <c r="E379" s="10">
        <v>3318.12</v>
      </c>
      <c r="F379" s="10" t="str">
        <f>IF(DMart_Sales_Data[[#This Row],[sales]]&gt;=3000,"High Sales",IF(DMart_Sales_Data[[#This Row],[sales]]&gt;=1000,"Medium Sales",IF(DMart_Sales_Data[[#This Row],[sales]]&lt;1000,"Low Sales")))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5" t="str">
        <f>PROPER(DMart_Sales_Data[[#This Row],[city]])</f>
        <v>Pune</v>
      </c>
      <c r="O379" s="12" t="s">
        <v>47</v>
      </c>
      <c r="P379" s="66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25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15" t="str">
        <f>IF(DMart_Sales_Data[[#This Row],[sales]]&gt;=3000,"High Sales",IF(DMart_Sales_Data[[#This Row],[sales]]&gt;=1000,"Medium Sales",IF(DMart_Sales_Data[[#This Row],[sales]]&lt;1000,"Low Sales")))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5" t="str">
        <f>PROPER(DMart_Sales_Data[[#This Row],[city]])</f>
        <v>Delhi</v>
      </c>
      <c r="O380" s="17" t="s">
        <v>64</v>
      </c>
      <c r="P380" s="66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25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10" t="str">
        <f>IF(DMart_Sales_Data[[#This Row],[sales]]&gt;=3000,"High Sales",IF(DMart_Sales_Data[[#This Row],[sales]]&gt;=1000,"Medium Sales",IF(DMart_Sales_Data[[#This Row],[sales]]&lt;1000,"Low Sales")))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5" t="str">
        <f>PROPER(DMart_Sales_Data[[#This Row],[city]])</f>
        <v>Delhi</v>
      </c>
      <c r="O381" s="12" t="s">
        <v>64</v>
      </c>
      <c r="P381" s="66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25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15" t="str">
        <f>IF(DMart_Sales_Data[[#This Row],[sales]]&gt;=3000,"High Sales",IF(DMart_Sales_Data[[#This Row],[sales]]&gt;=1000,"Medium Sales",IF(DMart_Sales_Data[[#This Row],[sales]]&lt;1000,"Low Sales")))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5" t="str">
        <f>PROPER(DMart_Sales_Data[[#This Row],[city]])</f>
        <v>Hyderabad</v>
      </c>
      <c r="O382" s="17" t="s">
        <v>34</v>
      </c>
      <c r="P382" s="66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25">
      <c r="A383" s="8" t="s">
        <v>424</v>
      </c>
      <c r="B383" s="9" t="s">
        <v>575</v>
      </c>
      <c r="C383" s="4" t="s">
        <v>575</v>
      </c>
      <c r="D383" s="10" t="s">
        <v>36</v>
      </c>
      <c r="E383" s="10">
        <v>3973.36</v>
      </c>
      <c r="F383" s="10" t="str">
        <f>IF(DMart_Sales_Data[[#This Row],[sales]]&gt;=3000,"High Sales",IF(DMart_Sales_Data[[#This Row],[sales]]&gt;=1000,"Medium Sales",IF(DMart_Sales_Data[[#This Row],[sales]]&lt;1000,"Low Sales")))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5" t="str">
        <f>PROPER(DMart_Sales_Data[[#This Row],[city]])</f>
        <v>Mumbai</v>
      </c>
      <c r="O383" s="12" t="s">
        <v>78</v>
      </c>
      <c r="P383" s="66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25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15" t="str">
        <f>IF(DMart_Sales_Data[[#This Row],[sales]]&gt;=3000,"High Sales",IF(DMart_Sales_Data[[#This Row],[sales]]&gt;=1000,"Medium Sales",IF(DMart_Sales_Data[[#This Row],[sales]]&lt;1000,"Low Sales")))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5" t="str">
        <f>PROPER(DMart_Sales_Data[[#This Row],[city]])</f>
        <v>Pune</v>
      </c>
      <c r="O384" s="17" t="s">
        <v>38</v>
      </c>
      <c r="P384" s="66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25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10" t="str">
        <f>IF(DMart_Sales_Data[[#This Row],[sales]]&gt;=3000,"High Sales",IF(DMart_Sales_Data[[#This Row],[sales]]&gt;=1000,"Medium Sales",IF(DMart_Sales_Data[[#This Row],[sales]]&lt;1000,"Low Sales")))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5" t="str">
        <f>PROPER(DMart_Sales_Data[[#This Row],[city]])</f>
        <v>Mumbai</v>
      </c>
      <c r="O385" s="12" t="s">
        <v>54</v>
      </c>
      <c r="P385" s="66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25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15" t="str">
        <f>IF(DMart_Sales_Data[[#This Row],[sales]]&gt;=3000,"High Sales",IF(DMart_Sales_Data[[#This Row],[sales]]&gt;=1000,"Medium Sales",IF(DMart_Sales_Data[[#This Row],[sales]]&lt;1000,"Low Sales")))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5" t="str">
        <f>PROPER(DMart_Sales_Data[[#This Row],[city]])</f>
        <v>Bangalore</v>
      </c>
      <c r="O386" s="17" t="s">
        <v>16</v>
      </c>
      <c r="P386" s="66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25">
      <c r="A387" s="8" t="s">
        <v>428</v>
      </c>
      <c r="B387" s="9" t="s">
        <v>575</v>
      </c>
      <c r="C387" s="4" t="s">
        <v>575</v>
      </c>
      <c r="D387" s="10" t="s">
        <v>13</v>
      </c>
      <c r="E387" s="10">
        <v>2176.84</v>
      </c>
      <c r="F387" s="10" t="str">
        <f>IF(DMart_Sales_Data[[#This Row],[sales]]&gt;=3000,"High Sales",IF(DMart_Sales_Data[[#This Row],[sales]]&gt;=1000,"Medium Sales",IF(DMart_Sales_Data[[#This Row],[sales]]&lt;1000,"Low Sales")))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5" t="str">
        <f>PROPER(DMart_Sales_Data[[#This Row],[city]])</f>
        <v>Mumbai</v>
      </c>
      <c r="O387" s="12" t="s">
        <v>78</v>
      </c>
      <c r="P387" s="66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25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5" t="str">
        <f>PROPER(DMart_Sales_Data[[#This Row],[city]])</f>
        <v>Bangalore</v>
      </c>
      <c r="O388" s="17" t="s">
        <v>16</v>
      </c>
      <c r="P388" s="66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25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10" t="str">
        <f>IF(DMart_Sales_Data[[#This Row],[sales]]&gt;=3000,"High Sales",IF(DMart_Sales_Data[[#This Row],[sales]]&gt;=1000,"Medium Sales",IF(DMart_Sales_Data[[#This Row],[sales]]&lt;1000,"Low Sales")))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5" t="str">
        <f>PROPER(DMart_Sales_Data[[#This Row],[city]])</f>
        <v>Hyderabad</v>
      </c>
      <c r="O389" s="12" t="s">
        <v>29</v>
      </c>
      <c r="P389" s="66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25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15" t="str">
        <f>IF(DMart_Sales_Data[[#This Row],[sales]]&gt;=3000,"High Sales",IF(DMart_Sales_Data[[#This Row],[sales]]&gt;=1000,"Medium Sales",IF(DMart_Sales_Data[[#This Row],[sales]]&lt;1000,"Low Sales")))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5" t="str">
        <f>PROPER(DMart_Sales_Data[[#This Row],[city]])</f>
        <v>Bangalore</v>
      </c>
      <c r="O390" s="17" t="s">
        <v>94</v>
      </c>
      <c r="P390" s="66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25">
      <c r="A391" s="8" t="s">
        <v>432</v>
      </c>
      <c r="B391" s="9" t="s">
        <v>575</v>
      </c>
      <c r="C391" s="4" t="s">
        <v>575</v>
      </c>
      <c r="D391" s="10" t="s">
        <v>36</v>
      </c>
      <c r="E391" s="10">
        <v>1046.47</v>
      </c>
      <c r="F391" s="10" t="str">
        <f>IF(DMart_Sales_Data[[#This Row],[sales]]&gt;=3000,"High Sales",IF(DMart_Sales_Data[[#This Row],[sales]]&gt;=1000,"Medium Sales",IF(DMart_Sales_Data[[#This Row],[sales]]&lt;1000,"Low Sales")))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5" t="str">
        <f>PROPER(DMart_Sales_Data[[#This Row],[city]])</f>
        <v>Pune</v>
      </c>
      <c r="O391" s="12" t="s">
        <v>26</v>
      </c>
      <c r="P391" s="66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25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15" t="str">
        <f>IF(DMart_Sales_Data[[#This Row],[sales]]&gt;=3000,"High Sales",IF(DMart_Sales_Data[[#This Row],[sales]]&gt;=1000,"Medium Sales",IF(DMart_Sales_Data[[#This Row],[sales]]&lt;1000,"Low Sales")))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5" t="str">
        <f>PROPER(DMart_Sales_Data[[#This Row],[city]])</f>
        <v>Hyderabad</v>
      </c>
      <c r="O392" s="17" t="s">
        <v>57</v>
      </c>
      <c r="P392" s="66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25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10" t="str">
        <f>IF(DMart_Sales_Data[[#This Row],[sales]]&gt;=3000,"High Sales",IF(DMart_Sales_Data[[#This Row],[sales]]&gt;=1000,"Medium Sales",IF(DMart_Sales_Data[[#This Row],[sales]]&lt;1000,"Low Sales")))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5" t="str">
        <f>PROPER(DMart_Sales_Data[[#This Row],[city]])</f>
        <v>Delhi</v>
      </c>
      <c r="O393" s="12" t="s">
        <v>62</v>
      </c>
      <c r="P393" s="66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25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15" t="str">
        <f>IF(DMart_Sales_Data[[#This Row],[sales]]&gt;=3000,"High Sales",IF(DMart_Sales_Data[[#This Row],[sales]]&gt;=1000,"Medium Sales",IF(DMart_Sales_Data[[#This Row],[sales]]&lt;1000,"Low Sales")))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5" t="str">
        <f>PROPER(DMart_Sales_Data[[#This Row],[city]])</f>
        <v>Chennai</v>
      </c>
      <c r="O394" s="17" t="s">
        <v>67</v>
      </c>
      <c r="P394" s="66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25">
      <c r="A395" s="8" t="s">
        <v>436</v>
      </c>
      <c r="B395" s="9" t="s">
        <v>575</v>
      </c>
      <c r="C395" s="4" t="s">
        <v>575</v>
      </c>
      <c r="D395" s="10" t="s">
        <v>36</v>
      </c>
      <c r="E395" s="10">
        <v>3204.29</v>
      </c>
      <c r="F395" s="10" t="str">
        <f>IF(DMart_Sales_Data[[#This Row],[sales]]&gt;=3000,"High Sales",IF(DMart_Sales_Data[[#This Row],[sales]]&gt;=1000,"Medium Sales",IF(DMart_Sales_Data[[#This Row],[sales]]&lt;1000,"Low Sales")))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5" t="str">
        <f>PROPER(DMart_Sales_Data[[#This Row],[city]])</f>
        <v>Delhi</v>
      </c>
      <c r="O395" s="12" t="s">
        <v>62</v>
      </c>
      <c r="P395" s="66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25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15" t="str">
        <f>IF(DMart_Sales_Data[[#This Row],[sales]]&gt;=3000,"High Sales",IF(DMart_Sales_Data[[#This Row],[sales]]&gt;=1000,"Medium Sales",IF(DMart_Sales_Data[[#This Row],[sales]]&lt;1000,"Low Sales")))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5" t="str">
        <f>PROPER(DMart_Sales_Data[[#This Row],[city]])</f>
        <v>Hyderabad</v>
      </c>
      <c r="O396" s="17" t="s">
        <v>29</v>
      </c>
      <c r="P396" s="66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25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10" t="str">
        <f>IF(DMart_Sales_Data[[#This Row],[sales]]&gt;=3000,"High Sales",IF(DMart_Sales_Data[[#This Row],[sales]]&gt;=1000,"Medium Sales",IF(DMart_Sales_Data[[#This Row],[sales]]&lt;1000,"Low Sales")))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5" t="str">
        <f>PROPER(DMart_Sales_Data[[#This Row],[city]])</f>
        <v>Pune</v>
      </c>
      <c r="O397" s="12" t="s">
        <v>47</v>
      </c>
      <c r="P397" s="66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25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15" t="str">
        <f>IF(DMart_Sales_Data[[#This Row],[sales]]&gt;=3000,"High Sales",IF(DMart_Sales_Data[[#This Row],[sales]]&gt;=1000,"Medium Sales",IF(DMart_Sales_Data[[#This Row],[sales]]&lt;1000,"Low Sales")))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5" t="str">
        <f>PROPER(DMart_Sales_Data[[#This Row],[city]])</f>
        <v>Mumbai</v>
      </c>
      <c r="O398" s="17" t="s">
        <v>21</v>
      </c>
      <c r="P398" s="66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25">
      <c r="A399" s="8" t="s">
        <v>440</v>
      </c>
      <c r="B399" s="9" t="s">
        <v>575</v>
      </c>
      <c r="C399" s="4" t="s">
        <v>575</v>
      </c>
      <c r="D399" s="10" t="s">
        <v>13</v>
      </c>
      <c r="E399" s="10">
        <v>559.61</v>
      </c>
      <c r="F399" s="10" t="str">
        <f>IF(DMart_Sales_Data[[#This Row],[sales]]&gt;=3000,"High Sales",IF(DMart_Sales_Data[[#This Row],[sales]]&gt;=1000,"Medium Sales",IF(DMart_Sales_Data[[#This Row],[sales]]&lt;1000,"Low Sales")))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5" t="str">
        <f>PROPER(DMart_Sales_Data[[#This Row],[city]])</f>
        <v>Pune</v>
      </c>
      <c r="O399" s="12" t="s">
        <v>38</v>
      </c>
      <c r="P399" s="66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25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15" t="str">
        <f>IF(DMart_Sales_Data[[#This Row],[sales]]&gt;=3000,"High Sales",IF(DMart_Sales_Data[[#This Row],[sales]]&gt;=1000,"Medium Sales",IF(DMart_Sales_Data[[#This Row],[sales]]&lt;1000,"Low Sales")))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5" t="str">
        <f>PROPER(DMart_Sales_Data[[#This Row],[city]])</f>
        <v>Hyderabad</v>
      </c>
      <c r="O400" s="17" t="s">
        <v>29</v>
      </c>
      <c r="P400" s="66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25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10" t="str">
        <f>IF(DMart_Sales_Data[[#This Row],[sales]]&gt;=3000,"High Sales",IF(DMart_Sales_Data[[#This Row],[sales]]&gt;=1000,"Medium Sales",IF(DMart_Sales_Data[[#This Row],[sales]]&lt;1000,"Low Sales")))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5" t="str">
        <f>PROPER(DMart_Sales_Data[[#This Row],[city]])</f>
        <v>Bangalore</v>
      </c>
      <c r="O401" s="12" t="s">
        <v>51</v>
      </c>
      <c r="P401" s="66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25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15" t="str">
        <f>IF(DMart_Sales_Data[[#This Row],[sales]]&gt;=3000,"High Sales",IF(DMart_Sales_Data[[#This Row],[sales]]&gt;=1000,"Medium Sales",IF(DMart_Sales_Data[[#This Row],[sales]]&lt;1000,"Low Sales")))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5" t="str">
        <f>PROPER(DMart_Sales_Data[[#This Row],[city]])</f>
        <v>Mumbai</v>
      </c>
      <c r="O402" s="17" t="s">
        <v>54</v>
      </c>
      <c r="P402" s="66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25">
      <c r="A403" s="8" t="s">
        <v>444</v>
      </c>
      <c r="B403" s="9" t="s">
        <v>575</v>
      </c>
      <c r="C403" s="4" t="s">
        <v>575</v>
      </c>
      <c r="D403" s="10" t="s">
        <v>18</v>
      </c>
      <c r="E403" s="10">
        <v>2898</v>
      </c>
      <c r="F403" s="10" t="str">
        <f>IF(DMart_Sales_Data[[#This Row],[sales]]&gt;=3000,"High Sales",IF(DMart_Sales_Data[[#This Row],[sales]]&gt;=1000,"Medium Sales",IF(DMart_Sales_Data[[#This Row],[sales]]&lt;1000,"Low Sales")))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5" t="str">
        <f>PROPER(DMart_Sales_Data[[#This Row],[city]])</f>
        <v>Chennai</v>
      </c>
      <c r="O403" s="12" t="s">
        <v>67</v>
      </c>
      <c r="P403" s="66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25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15" t="str">
        <f>IF(DMart_Sales_Data[[#This Row],[sales]]&gt;=3000,"High Sales",IF(DMart_Sales_Data[[#This Row],[sales]]&gt;=1000,"Medium Sales",IF(DMart_Sales_Data[[#This Row],[sales]]&lt;1000,"Low Sales")))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5" t="str">
        <f>PROPER(DMart_Sales_Data[[#This Row],[city]])</f>
        <v>Mumbai</v>
      </c>
      <c r="O404" s="17" t="s">
        <v>78</v>
      </c>
      <c r="P404" s="66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25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10" t="str">
        <f>IF(DMart_Sales_Data[[#This Row],[sales]]&gt;=3000,"High Sales",IF(DMart_Sales_Data[[#This Row],[sales]]&gt;=1000,"Medium Sales",IF(DMart_Sales_Data[[#This Row],[sales]]&lt;1000,"Low Sales")))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5" t="str">
        <f>PROPER(DMart_Sales_Data[[#This Row],[city]])</f>
        <v>Bangalore</v>
      </c>
      <c r="O405" s="12" t="s">
        <v>94</v>
      </c>
      <c r="P405" s="66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25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15" t="str">
        <f>IF(DMart_Sales_Data[[#This Row],[sales]]&gt;=3000,"High Sales",IF(DMart_Sales_Data[[#This Row],[sales]]&gt;=1000,"Medium Sales",IF(DMart_Sales_Data[[#This Row],[sales]]&lt;1000,"Low Sales")))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5" t="str">
        <f>PROPER(DMart_Sales_Data[[#This Row],[city]])</f>
        <v>Mumbai</v>
      </c>
      <c r="O406" s="17" t="s">
        <v>78</v>
      </c>
      <c r="P406" s="66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25">
      <c r="A407" s="8" t="s">
        <v>448</v>
      </c>
      <c r="B407" s="9" t="s">
        <v>575</v>
      </c>
      <c r="C407" s="4" t="s">
        <v>575</v>
      </c>
      <c r="D407" s="10" t="s">
        <v>24</v>
      </c>
      <c r="E407" s="10">
        <v>3129.74</v>
      </c>
      <c r="F407" s="10" t="str">
        <f>IF(DMart_Sales_Data[[#This Row],[sales]]&gt;=3000,"High Sales",IF(DMart_Sales_Data[[#This Row],[sales]]&gt;=1000,"Medium Sales",IF(DMart_Sales_Data[[#This Row],[sales]]&lt;1000,"Low Sales")))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5" t="str">
        <f>PROPER(DMart_Sales_Data[[#This Row],[city]])</f>
        <v>Bangalore</v>
      </c>
      <c r="O407" s="12" t="s">
        <v>51</v>
      </c>
      <c r="P407" s="66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25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15" t="str">
        <f>IF(DMart_Sales_Data[[#This Row],[sales]]&gt;=3000,"High Sales",IF(DMart_Sales_Data[[#This Row],[sales]]&gt;=1000,"Medium Sales",IF(DMart_Sales_Data[[#This Row],[sales]]&lt;1000,"Low Sales")))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5" t="str">
        <f>PROPER(DMart_Sales_Data[[#This Row],[city]])</f>
        <v>Delhi</v>
      </c>
      <c r="O408" s="17" t="s">
        <v>99</v>
      </c>
      <c r="P408" s="66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25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10" t="str">
        <f>IF(DMart_Sales_Data[[#This Row],[sales]]&gt;=3000,"High Sales",IF(DMart_Sales_Data[[#This Row],[sales]]&gt;=1000,"Medium Sales",IF(DMart_Sales_Data[[#This Row],[sales]]&lt;1000,"Low Sales")))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5" t="str">
        <f>PROPER(DMart_Sales_Data[[#This Row],[city]])</f>
        <v>Pune</v>
      </c>
      <c r="O409" s="12" t="s">
        <v>26</v>
      </c>
      <c r="P409" s="66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25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15" t="str">
        <f>IF(DMart_Sales_Data[[#This Row],[sales]]&gt;=3000,"High Sales",IF(DMart_Sales_Data[[#This Row],[sales]]&gt;=1000,"Medium Sales",IF(DMart_Sales_Data[[#This Row],[sales]]&lt;1000,"Low Sales")))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5" t="str">
        <f>PROPER(DMart_Sales_Data[[#This Row],[city]])</f>
        <v>Pune</v>
      </c>
      <c r="O410" s="17" t="s">
        <v>26</v>
      </c>
      <c r="P410" s="66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25">
      <c r="A411" s="8" t="s">
        <v>452</v>
      </c>
      <c r="B411" s="9" t="s">
        <v>575</v>
      </c>
      <c r="C411" s="4" t="s">
        <v>575</v>
      </c>
      <c r="D411" s="10" t="s">
        <v>33</v>
      </c>
      <c r="E411" s="10">
        <v>3894.89</v>
      </c>
      <c r="F411" s="10" t="str">
        <f>IF(DMart_Sales_Data[[#This Row],[sales]]&gt;=3000,"High Sales",IF(DMart_Sales_Data[[#This Row],[sales]]&gt;=1000,"Medium Sales",IF(DMart_Sales_Data[[#This Row],[sales]]&lt;1000,"Low Sales")))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5" t="str">
        <f>PROPER(DMart_Sales_Data[[#This Row],[city]])</f>
        <v>Bangalore</v>
      </c>
      <c r="O411" s="12" t="s">
        <v>51</v>
      </c>
      <c r="P411" s="66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25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15" t="str">
        <f>IF(DMart_Sales_Data[[#This Row],[sales]]&gt;=3000,"High Sales",IF(DMart_Sales_Data[[#This Row],[sales]]&gt;=1000,"Medium Sales",IF(DMart_Sales_Data[[#This Row],[sales]]&lt;1000,"Low Sales")))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5" t="str">
        <f>PROPER(DMart_Sales_Data[[#This Row],[city]])</f>
        <v>Delhi</v>
      </c>
      <c r="O412" s="17" t="s">
        <v>64</v>
      </c>
      <c r="P412" s="66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25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10" t="str">
        <f>IF(DMart_Sales_Data[[#This Row],[sales]]&gt;=3000,"High Sales",IF(DMart_Sales_Data[[#This Row],[sales]]&gt;=1000,"Medium Sales",IF(DMart_Sales_Data[[#This Row],[sales]]&lt;1000,"Low Sales")))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5" t="str">
        <f>PROPER(DMart_Sales_Data[[#This Row],[city]])</f>
        <v>Bangalore</v>
      </c>
      <c r="O413" s="12" t="s">
        <v>51</v>
      </c>
      <c r="P413" s="66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25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15" t="str">
        <f>IF(DMart_Sales_Data[[#This Row],[sales]]&gt;=3000,"High Sales",IF(DMart_Sales_Data[[#This Row],[sales]]&gt;=1000,"Medium Sales",IF(DMart_Sales_Data[[#This Row],[sales]]&lt;1000,"Low Sales")))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5" t="str">
        <f>PROPER(DMart_Sales_Data[[#This Row],[city]])</f>
        <v>Mumbai</v>
      </c>
      <c r="O414" s="17" t="s">
        <v>54</v>
      </c>
      <c r="P414" s="66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25">
      <c r="A415" s="8" t="s">
        <v>456</v>
      </c>
      <c r="B415" s="9" t="s">
        <v>575</v>
      </c>
      <c r="C415" s="4" t="s">
        <v>575</v>
      </c>
      <c r="D415" s="10" t="s">
        <v>36</v>
      </c>
      <c r="E415" s="10">
        <v>1271.8</v>
      </c>
      <c r="F415" s="10" t="str">
        <f>IF(DMart_Sales_Data[[#This Row],[sales]]&gt;=3000,"High Sales",IF(DMart_Sales_Data[[#This Row],[sales]]&gt;=1000,"Medium Sales",IF(DMart_Sales_Data[[#This Row],[sales]]&lt;1000,"Low Sales")))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5" t="str">
        <f>PROPER(DMart_Sales_Data[[#This Row],[city]])</f>
        <v>Pune</v>
      </c>
      <c r="O415" s="12" t="s">
        <v>38</v>
      </c>
      <c r="P415" s="66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25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15" t="str">
        <f>IF(DMart_Sales_Data[[#This Row],[sales]]&gt;=3000,"High Sales",IF(DMart_Sales_Data[[#This Row],[sales]]&gt;=1000,"Medium Sales",IF(DMart_Sales_Data[[#This Row],[sales]]&lt;1000,"Low Sales")))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5" t="str">
        <f>PROPER(DMart_Sales_Data[[#This Row],[city]])</f>
        <v>Pune</v>
      </c>
      <c r="O416" s="17" t="s">
        <v>47</v>
      </c>
      <c r="P416" s="66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25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10" t="str">
        <f>IF(DMart_Sales_Data[[#This Row],[sales]]&gt;=3000,"High Sales",IF(DMart_Sales_Data[[#This Row],[sales]]&gt;=1000,"Medium Sales",IF(DMart_Sales_Data[[#This Row],[sales]]&lt;1000,"Low Sales")))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5" t="str">
        <f>PROPER(DMart_Sales_Data[[#This Row],[city]])</f>
        <v>Chennai</v>
      </c>
      <c r="O417" s="12" t="s">
        <v>67</v>
      </c>
      <c r="P417" s="66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25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15" t="str">
        <f>IF(DMart_Sales_Data[[#This Row],[sales]]&gt;=3000,"High Sales",IF(DMart_Sales_Data[[#This Row],[sales]]&gt;=1000,"Medium Sales",IF(DMart_Sales_Data[[#This Row],[sales]]&lt;1000,"Low Sales")))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5" t="str">
        <f>PROPER(DMart_Sales_Data[[#This Row],[city]])</f>
        <v>Bangalore</v>
      </c>
      <c r="O418" s="17" t="s">
        <v>51</v>
      </c>
      <c r="P418" s="66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25">
      <c r="A419" s="8" t="s">
        <v>460</v>
      </c>
      <c r="B419" s="9" t="s">
        <v>575</v>
      </c>
      <c r="C419" s="4" t="s">
        <v>575</v>
      </c>
      <c r="D419" s="10" t="s">
        <v>24</v>
      </c>
      <c r="E419" s="10">
        <v>4180.0600000000004</v>
      </c>
      <c r="F419" s="10" t="str">
        <f>IF(DMart_Sales_Data[[#This Row],[sales]]&gt;=3000,"High Sales",IF(DMart_Sales_Data[[#This Row],[sales]]&gt;=1000,"Medium Sales",IF(DMart_Sales_Data[[#This Row],[sales]]&lt;1000,"Low Sales")))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5" t="str">
        <f>PROPER(DMart_Sales_Data[[#This Row],[city]])</f>
        <v>Hyderabad</v>
      </c>
      <c r="O419" s="12" t="s">
        <v>34</v>
      </c>
      <c r="P419" s="66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25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15" t="str">
        <f>IF(DMart_Sales_Data[[#This Row],[sales]]&gt;=3000,"High Sales",IF(DMart_Sales_Data[[#This Row],[sales]]&gt;=1000,"Medium Sales",IF(DMart_Sales_Data[[#This Row],[sales]]&lt;1000,"Low Sales")))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5" t="str">
        <f>PROPER(DMart_Sales_Data[[#This Row],[city]])</f>
        <v>Delhi</v>
      </c>
      <c r="O420" s="17" t="s">
        <v>62</v>
      </c>
      <c r="P420" s="66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25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10" t="str">
        <f>IF(DMart_Sales_Data[[#This Row],[sales]]&gt;=3000,"High Sales",IF(DMart_Sales_Data[[#This Row],[sales]]&gt;=1000,"Medium Sales",IF(DMart_Sales_Data[[#This Row],[sales]]&lt;1000,"Low Sales")))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5" t="str">
        <f>PROPER(DMart_Sales_Data[[#This Row],[city]])</f>
        <v>Bangalore</v>
      </c>
      <c r="O421" s="12" t="s">
        <v>51</v>
      </c>
      <c r="P421" s="66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25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15" t="str">
        <f>IF(DMart_Sales_Data[[#This Row],[sales]]&gt;=3000,"High Sales",IF(DMart_Sales_Data[[#This Row],[sales]]&gt;=1000,"Medium Sales",IF(DMart_Sales_Data[[#This Row],[sales]]&lt;1000,"Low Sales")))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5" t="str">
        <f>PROPER(DMart_Sales_Data[[#This Row],[city]])</f>
        <v>Delhi</v>
      </c>
      <c r="O422" s="17" t="s">
        <v>62</v>
      </c>
      <c r="P422" s="66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25">
      <c r="A423" s="8" t="s">
        <v>464</v>
      </c>
      <c r="B423" s="9" t="s">
        <v>575</v>
      </c>
      <c r="C423" s="4" t="s">
        <v>575</v>
      </c>
      <c r="D423" s="10" t="s">
        <v>13</v>
      </c>
      <c r="E423" s="10">
        <v>4335.22</v>
      </c>
      <c r="F423" s="10" t="str">
        <f>IF(DMart_Sales_Data[[#This Row],[sales]]&gt;=3000,"High Sales",IF(DMart_Sales_Data[[#This Row],[sales]]&gt;=1000,"Medium Sales",IF(DMart_Sales_Data[[#This Row],[sales]]&lt;1000,"Low Sales")))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5" t="str">
        <f>PROPER(DMart_Sales_Data[[#This Row],[city]])</f>
        <v>Mumbai</v>
      </c>
      <c r="O423" s="12" t="s">
        <v>78</v>
      </c>
      <c r="P423" s="66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25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15" t="str">
        <f>IF(DMart_Sales_Data[[#This Row],[sales]]&gt;=3000,"High Sales",IF(DMart_Sales_Data[[#This Row],[sales]]&gt;=1000,"Medium Sales",IF(DMart_Sales_Data[[#This Row],[sales]]&lt;1000,"Low Sales")))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5" t="str">
        <f>PROPER(DMart_Sales_Data[[#This Row],[city]])</f>
        <v>Delhi</v>
      </c>
      <c r="O424" s="17" t="s">
        <v>62</v>
      </c>
      <c r="P424" s="66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25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10" t="str">
        <f>IF(DMart_Sales_Data[[#This Row],[sales]]&gt;=3000,"High Sales",IF(DMart_Sales_Data[[#This Row],[sales]]&gt;=1000,"Medium Sales",IF(DMart_Sales_Data[[#This Row],[sales]]&lt;1000,"Low Sales")))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5" t="str">
        <f>PROPER(DMart_Sales_Data[[#This Row],[city]])</f>
        <v>Bangalore</v>
      </c>
      <c r="O425" s="12" t="s">
        <v>16</v>
      </c>
      <c r="P425" s="66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25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15" t="str">
        <f>IF(DMart_Sales_Data[[#This Row],[sales]]&gt;=3000,"High Sales",IF(DMart_Sales_Data[[#This Row],[sales]]&gt;=1000,"Medium Sales",IF(DMart_Sales_Data[[#This Row],[sales]]&lt;1000,"Low Sales")))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5" t="str">
        <f>PROPER(DMart_Sales_Data[[#This Row],[city]])</f>
        <v>Hyderabad</v>
      </c>
      <c r="O426" s="17" t="s">
        <v>34</v>
      </c>
      <c r="P426" s="66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25">
      <c r="A427" s="8" t="s">
        <v>468</v>
      </c>
      <c r="B427" s="9" t="s">
        <v>575</v>
      </c>
      <c r="C427" s="4" t="s">
        <v>575</v>
      </c>
      <c r="D427" s="10" t="s">
        <v>33</v>
      </c>
      <c r="E427" s="10">
        <v>4419.57</v>
      </c>
      <c r="F427" s="10" t="str">
        <f>IF(DMart_Sales_Data[[#This Row],[sales]]&gt;=3000,"High Sales",IF(DMart_Sales_Data[[#This Row],[sales]]&gt;=1000,"Medium Sales",IF(DMart_Sales_Data[[#This Row],[sales]]&lt;1000,"Low Sales")))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5" t="str">
        <f>PROPER(DMart_Sales_Data[[#This Row],[city]])</f>
        <v>Delhi</v>
      </c>
      <c r="O427" s="12" t="s">
        <v>62</v>
      </c>
      <c r="P427" s="66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25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15" t="str">
        <f>IF(DMart_Sales_Data[[#This Row],[sales]]&gt;=3000,"High Sales",IF(DMart_Sales_Data[[#This Row],[sales]]&gt;=1000,"Medium Sales",IF(DMart_Sales_Data[[#This Row],[sales]]&lt;1000,"Low Sales")))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5" t="str">
        <f>PROPER(DMart_Sales_Data[[#This Row],[city]])</f>
        <v>Mumbai</v>
      </c>
      <c r="O428" s="17" t="s">
        <v>54</v>
      </c>
      <c r="P428" s="66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25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10" t="str">
        <f>IF(DMart_Sales_Data[[#This Row],[sales]]&gt;=3000,"High Sales",IF(DMart_Sales_Data[[#This Row],[sales]]&gt;=1000,"Medium Sales",IF(DMart_Sales_Data[[#This Row],[sales]]&lt;1000,"Low Sales")))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5" t="str">
        <f>PROPER(DMart_Sales_Data[[#This Row],[city]])</f>
        <v>Mumbai</v>
      </c>
      <c r="O429" s="12" t="s">
        <v>21</v>
      </c>
      <c r="P429" s="66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25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15" t="str">
        <f>IF(DMart_Sales_Data[[#This Row],[sales]]&gt;=3000,"High Sales",IF(DMart_Sales_Data[[#This Row],[sales]]&gt;=1000,"Medium Sales",IF(DMart_Sales_Data[[#This Row],[sales]]&lt;1000,"Low Sales")))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5" t="str">
        <f>PROPER(DMart_Sales_Data[[#This Row],[city]])</f>
        <v>Mumbai</v>
      </c>
      <c r="O430" s="17" t="s">
        <v>78</v>
      </c>
      <c r="P430" s="66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25">
      <c r="A431" s="8" t="s">
        <v>472</v>
      </c>
      <c r="B431" s="9" t="s">
        <v>575</v>
      </c>
      <c r="C431" s="4" t="s">
        <v>575</v>
      </c>
      <c r="D431" s="10" t="s">
        <v>24</v>
      </c>
      <c r="E431" s="10">
        <v>4419.3500000000004</v>
      </c>
      <c r="F431" s="10" t="str">
        <f>IF(DMart_Sales_Data[[#This Row],[sales]]&gt;=3000,"High Sales",IF(DMart_Sales_Data[[#This Row],[sales]]&gt;=1000,"Medium Sales",IF(DMart_Sales_Data[[#This Row],[sales]]&lt;1000,"Low Sales")))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5" t="str">
        <f>PROPER(DMart_Sales_Data[[#This Row],[city]])</f>
        <v>Bangalore</v>
      </c>
      <c r="O431" s="12" t="s">
        <v>51</v>
      </c>
      <c r="P431" s="66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25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15" t="str">
        <f>IF(DMart_Sales_Data[[#This Row],[sales]]&gt;=3000,"High Sales",IF(DMart_Sales_Data[[#This Row],[sales]]&gt;=1000,"Medium Sales",IF(DMart_Sales_Data[[#This Row],[sales]]&lt;1000,"Low Sales")))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5" t="str">
        <f>PROPER(DMart_Sales_Data[[#This Row],[city]])</f>
        <v>Pune</v>
      </c>
      <c r="O432" s="17" t="s">
        <v>38</v>
      </c>
      <c r="P432" s="66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25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10" t="str">
        <f>IF(DMart_Sales_Data[[#This Row],[sales]]&gt;=3000,"High Sales",IF(DMart_Sales_Data[[#This Row],[sales]]&gt;=1000,"Medium Sales",IF(DMart_Sales_Data[[#This Row],[sales]]&lt;1000,"Low Sales")))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5" t="str">
        <f>PROPER(DMart_Sales_Data[[#This Row],[city]])</f>
        <v>Bangalore</v>
      </c>
      <c r="O433" s="12" t="s">
        <v>94</v>
      </c>
      <c r="P433" s="66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25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15" t="str">
        <f>IF(DMart_Sales_Data[[#This Row],[sales]]&gt;=3000,"High Sales",IF(DMart_Sales_Data[[#This Row],[sales]]&gt;=1000,"Medium Sales",IF(DMart_Sales_Data[[#This Row],[sales]]&lt;1000,"Low Sales")))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5" t="str">
        <f>PROPER(DMart_Sales_Data[[#This Row],[city]])</f>
        <v>Chennai</v>
      </c>
      <c r="O434" s="17" t="s">
        <v>43</v>
      </c>
      <c r="P434" s="66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25">
      <c r="A435" s="8" t="s">
        <v>476</v>
      </c>
      <c r="B435" s="9" t="s">
        <v>575</v>
      </c>
      <c r="C435" s="4" t="s">
        <v>575</v>
      </c>
      <c r="D435" s="10" t="s">
        <v>36</v>
      </c>
      <c r="E435" s="10">
        <v>292.56</v>
      </c>
      <c r="F435" s="10" t="str">
        <f>IF(DMart_Sales_Data[[#This Row],[sales]]&gt;=3000,"High Sales",IF(DMart_Sales_Data[[#This Row],[sales]]&gt;=1000,"Medium Sales",IF(DMart_Sales_Data[[#This Row],[sales]]&lt;1000,"Low Sales")))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5" t="str">
        <f>PROPER(DMart_Sales_Data[[#This Row],[city]])</f>
        <v>Chennai</v>
      </c>
      <c r="O435" s="12" t="s">
        <v>43</v>
      </c>
      <c r="P435" s="66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25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15" t="str">
        <f>IF(DMart_Sales_Data[[#This Row],[sales]]&gt;=3000,"High Sales",IF(DMart_Sales_Data[[#This Row],[sales]]&gt;=1000,"Medium Sales",IF(DMart_Sales_Data[[#This Row],[sales]]&lt;1000,"Low Sales")))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5" t="str">
        <f>PROPER(DMart_Sales_Data[[#This Row],[city]])</f>
        <v>Delhi</v>
      </c>
      <c r="O436" s="17" t="s">
        <v>64</v>
      </c>
      <c r="P436" s="66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25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10" t="str">
        <f>IF(DMart_Sales_Data[[#This Row],[sales]]&gt;=3000,"High Sales",IF(DMart_Sales_Data[[#This Row],[sales]]&gt;=1000,"Medium Sales",IF(DMart_Sales_Data[[#This Row],[sales]]&lt;1000,"Low Sales")))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5" t="str">
        <f>PROPER(DMart_Sales_Data[[#This Row],[city]])</f>
        <v>Delhi</v>
      </c>
      <c r="O437" s="12" t="s">
        <v>99</v>
      </c>
      <c r="P437" s="66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25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15" t="str">
        <f>IF(DMart_Sales_Data[[#This Row],[sales]]&gt;=3000,"High Sales",IF(DMart_Sales_Data[[#This Row],[sales]]&gt;=1000,"Medium Sales",IF(DMart_Sales_Data[[#This Row],[sales]]&lt;1000,"Low Sales")))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5" t="str">
        <f>PROPER(DMart_Sales_Data[[#This Row],[city]])</f>
        <v>Pune</v>
      </c>
      <c r="O438" s="17" t="s">
        <v>38</v>
      </c>
      <c r="P438" s="66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25">
      <c r="A439" s="8" t="s">
        <v>480</v>
      </c>
      <c r="B439" s="9" t="s">
        <v>575</v>
      </c>
      <c r="C439" s="4" t="s">
        <v>575</v>
      </c>
      <c r="D439" s="10" t="s">
        <v>24</v>
      </c>
      <c r="E439" s="10">
        <v>4234.91</v>
      </c>
      <c r="F439" s="10" t="str">
        <f>IF(DMart_Sales_Data[[#This Row],[sales]]&gt;=3000,"High Sales",IF(DMart_Sales_Data[[#This Row],[sales]]&gt;=1000,"Medium Sales",IF(DMart_Sales_Data[[#This Row],[sales]]&lt;1000,"Low Sales")))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5" t="str">
        <f>PROPER(DMart_Sales_Data[[#This Row],[city]])</f>
        <v>Mumbai</v>
      </c>
      <c r="O439" s="12" t="s">
        <v>78</v>
      </c>
      <c r="P439" s="66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25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15" t="str">
        <f>IF(DMart_Sales_Data[[#This Row],[sales]]&gt;=3000,"High Sales",IF(DMart_Sales_Data[[#This Row],[sales]]&gt;=1000,"Medium Sales",IF(DMart_Sales_Data[[#This Row],[sales]]&lt;1000,"Low Sales")))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5" t="str">
        <f>PROPER(DMart_Sales_Data[[#This Row],[city]])</f>
        <v>Delhi</v>
      </c>
      <c r="O440" s="17" t="s">
        <v>99</v>
      </c>
      <c r="P440" s="66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25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10" t="str">
        <f>IF(DMart_Sales_Data[[#This Row],[sales]]&gt;=3000,"High Sales",IF(DMart_Sales_Data[[#This Row],[sales]]&gt;=1000,"Medium Sales",IF(DMart_Sales_Data[[#This Row],[sales]]&lt;1000,"Low Sales")))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5" t="str">
        <f>PROPER(DMart_Sales_Data[[#This Row],[city]])</f>
        <v>Chennai</v>
      </c>
      <c r="O441" s="12" t="s">
        <v>40</v>
      </c>
      <c r="P441" s="66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25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15" t="str">
        <f>IF(DMart_Sales_Data[[#This Row],[sales]]&gt;=3000,"High Sales",IF(DMart_Sales_Data[[#This Row],[sales]]&gt;=1000,"Medium Sales",IF(DMart_Sales_Data[[#This Row],[sales]]&lt;1000,"Low Sales")))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5" t="str">
        <f>PROPER(DMart_Sales_Data[[#This Row],[city]])</f>
        <v>Chennai</v>
      </c>
      <c r="O442" s="17" t="s">
        <v>67</v>
      </c>
      <c r="P442" s="66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25">
      <c r="A443" s="8" t="s">
        <v>484</v>
      </c>
      <c r="B443" s="9" t="s">
        <v>575</v>
      </c>
      <c r="C443" s="4" t="s">
        <v>575</v>
      </c>
      <c r="D443" s="10" t="s">
        <v>24</v>
      </c>
      <c r="E443" s="10">
        <v>3361.01</v>
      </c>
      <c r="F443" s="10" t="str">
        <f>IF(DMart_Sales_Data[[#This Row],[sales]]&gt;=3000,"High Sales",IF(DMart_Sales_Data[[#This Row],[sales]]&gt;=1000,"Medium Sales",IF(DMart_Sales_Data[[#This Row],[sales]]&lt;1000,"Low Sales")))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5" t="str">
        <f>PROPER(DMart_Sales_Data[[#This Row],[city]])</f>
        <v>Delhi</v>
      </c>
      <c r="O443" s="12" t="s">
        <v>99</v>
      </c>
      <c r="P443" s="66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25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15" t="str">
        <f>IF(DMart_Sales_Data[[#This Row],[sales]]&gt;=3000,"High Sales",IF(DMart_Sales_Data[[#This Row],[sales]]&gt;=1000,"Medium Sales",IF(DMart_Sales_Data[[#This Row],[sales]]&lt;1000,"Low Sales")))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5" t="str">
        <f>PROPER(DMart_Sales_Data[[#This Row],[city]])</f>
        <v>Pune</v>
      </c>
      <c r="O444" s="17" t="s">
        <v>47</v>
      </c>
      <c r="P444" s="66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25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10" t="str">
        <f>IF(DMart_Sales_Data[[#This Row],[sales]]&gt;=3000,"High Sales",IF(DMart_Sales_Data[[#This Row],[sales]]&gt;=1000,"Medium Sales",IF(DMart_Sales_Data[[#This Row],[sales]]&lt;1000,"Low Sales")))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5" t="str">
        <f>PROPER(DMart_Sales_Data[[#This Row],[city]])</f>
        <v>Bangalore</v>
      </c>
      <c r="O445" s="12" t="s">
        <v>51</v>
      </c>
      <c r="P445" s="66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25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5" t="str">
        <f>PROPER(DMart_Sales_Data[[#This Row],[city]])</f>
        <v>Delhi</v>
      </c>
      <c r="O446" s="17" t="s">
        <v>64</v>
      </c>
      <c r="P446" s="66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25">
      <c r="A447" s="8" t="s">
        <v>488</v>
      </c>
      <c r="B447" s="9" t="s">
        <v>575</v>
      </c>
      <c r="C447" s="4" t="s">
        <v>575</v>
      </c>
      <c r="D447" s="10" t="s">
        <v>24</v>
      </c>
      <c r="E447" s="10">
        <v>3975.2</v>
      </c>
      <c r="F447" s="10" t="str">
        <f>IF(DMart_Sales_Data[[#This Row],[sales]]&gt;=3000,"High Sales",IF(DMart_Sales_Data[[#This Row],[sales]]&gt;=1000,"Medium Sales",IF(DMart_Sales_Data[[#This Row],[sales]]&lt;1000,"Low Sales")))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5" t="str">
        <f>PROPER(DMart_Sales_Data[[#This Row],[city]])</f>
        <v>Chennai</v>
      </c>
      <c r="O447" s="12" t="s">
        <v>67</v>
      </c>
      <c r="P447" s="66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25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5" t="str">
        <f>PROPER(DMart_Sales_Data[[#This Row],[city]])</f>
        <v>Delhi</v>
      </c>
      <c r="O448" s="17" t="s">
        <v>64</v>
      </c>
      <c r="P448" s="66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25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10" t="str">
        <f>IF(DMart_Sales_Data[[#This Row],[sales]]&gt;=3000,"High Sales",IF(DMart_Sales_Data[[#This Row],[sales]]&gt;=1000,"Medium Sales",IF(DMart_Sales_Data[[#This Row],[sales]]&lt;1000,"Low Sales")))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5" t="str">
        <f>PROPER(DMart_Sales_Data[[#This Row],[city]])</f>
        <v>Mumbai</v>
      </c>
      <c r="O449" s="12" t="s">
        <v>21</v>
      </c>
      <c r="P449" s="66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25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15" t="str">
        <f>IF(DMart_Sales_Data[[#This Row],[sales]]&gt;=3000,"High Sales",IF(DMart_Sales_Data[[#This Row],[sales]]&gt;=1000,"Medium Sales",IF(DMart_Sales_Data[[#This Row],[sales]]&lt;1000,"Low Sales")))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5" t="str">
        <f>PROPER(DMart_Sales_Data[[#This Row],[city]])</f>
        <v>Hyderabad</v>
      </c>
      <c r="O450" s="17" t="s">
        <v>34</v>
      </c>
      <c r="P450" s="66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25">
      <c r="A451" s="8" t="s">
        <v>492</v>
      </c>
      <c r="B451" s="9" t="s">
        <v>575</v>
      </c>
      <c r="C451" s="4" t="s">
        <v>575</v>
      </c>
      <c r="D451" s="10" t="s">
        <v>24</v>
      </c>
      <c r="E451" s="10">
        <v>673.03</v>
      </c>
      <c r="F451" s="10" t="str">
        <f>IF(DMart_Sales_Data[[#This Row],[sales]]&gt;=3000,"High Sales",IF(DMart_Sales_Data[[#This Row],[sales]]&gt;=1000,"Medium Sales",IF(DMart_Sales_Data[[#This Row],[sales]]&lt;1000,"Low Sales")))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5" t="str">
        <f>PROPER(DMart_Sales_Data[[#This Row],[city]])</f>
        <v>Hyderabad</v>
      </c>
      <c r="O451" s="12" t="s">
        <v>29</v>
      </c>
      <c r="P451" s="66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25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15" t="str">
        <f>IF(DMart_Sales_Data[[#This Row],[sales]]&gt;=3000,"High Sales",IF(DMart_Sales_Data[[#This Row],[sales]]&gt;=1000,"Medium Sales",IF(DMart_Sales_Data[[#This Row],[sales]]&lt;1000,"Low Sales")))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5" t="str">
        <f>PROPER(DMart_Sales_Data[[#This Row],[city]])</f>
        <v>Pune</v>
      </c>
      <c r="O452" s="17" t="s">
        <v>47</v>
      </c>
      <c r="P452" s="66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25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10" t="str">
        <f>IF(DMart_Sales_Data[[#This Row],[sales]]&gt;=3000,"High Sales",IF(DMart_Sales_Data[[#This Row],[sales]]&gt;=1000,"Medium Sales",IF(DMart_Sales_Data[[#This Row],[sales]]&lt;1000,"Low Sales")))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5" t="str">
        <f>PROPER(DMart_Sales_Data[[#This Row],[city]])</f>
        <v>Delhi</v>
      </c>
      <c r="O453" s="12" t="s">
        <v>62</v>
      </c>
      <c r="P453" s="66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25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15" t="str">
        <f>IF(DMart_Sales_Data[[#This Row],[sales]]&gt;=3000,"High Sales",IF(DMart_Sales_Data[[#This Row],[sales]]&gt;=1000,"Medium Sales",IF(DMart_Sales_Data[[#This Row],[sales]]&lt;1000,"Low Sales")))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5" t="str">
        <f>PROPER(DMart_Sales_Data[[#This Row],[city]])</f>
        <v>Bangalore</v>
      </c>
      <c r="O454" s="17" t="s">
        <v>94</v>
      </c>
      <c r="P454" s="66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25">
      <c r="A455" s="8" t="s">
        <v>496</v>
      </c>
      <c r="B455" s="9" t="s">
        <v>575</v>
      </c>
      <c r="C455" s="4" t="s">
        <v>575</v>
      </c>
      <c r="D455" s="10" t="s">
        <v>33</v>
      </c>
      <c r="E455" s="10">
        <v>640.41</v>
      </c>
      <c r="F455" s="10" t="str">
        <f>IF(DMart_Sales_Data[[#This Row],[sales]]&gt;=3000,"High Sales",IF(DMart_Sales_Data[[#This Row],[sales]]&gt;=1000,"Medium Sales",IF(DMart_Sales_Data[[#This Row],[sales]]&lt;1000,"Low Sales")))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5" t="str">
        <f>PROPER(DMart_Sales_Data[[#This Row],[city]])</f>
        <v>Bangalore</v>
      </c>
      <c r="O455" s="12" t="s">
        <v>51</v>
      </c>
      <c r="P455" s="66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25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15" t="str">
        <f>IF(DMart_Sales_Data[[#This Row],[sales]]&gt;=3000,"High Sales",IF(DMart_Sales_Data[[#This Row],[sales]]&gt;=1000,"Medium Sales",IF(DMart_Sales_Data[[#This Row],[sales]]&lt;1000,"Low Sales")))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5" t="str">
        <f>PROPER(DMart_Sales_Data[[#This Row],[city]])</f>
        <v>Chennai</v>
      </c>
      <c r="O456" s="17" t="s">
        <v>40</v>
      </c>
      <c r="P456" s="66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25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10" t="str">
        <f>IF(DMart_Sales_Data[[#This Row],[sales]]&gt;=3000,"High Sales",IF(DMart_Sales_Data[[#This Row],[sales]]&gt;=1000,"Medium Sales",IF(DMart_Sales_Data[[#This Row],[sales]]&lt;1000,"Low Sales")))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5" t="str">
        <f>PROPER(DMart_Sales_Data[[#This Row],[city]])</f>
        <v>Hyderabad</v>
      </c>
      <c r="O457" s="12" t="s">
        <v>34</v>
      </c>
      <c r="P457" s="66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25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15" t="str">
        <f>IF(DMart_Sales_Data[[#This Row],[sales]]&gt;=3000,"High Sales",IF(DMart_Sales_Data[[#This Row],[sales]]&gt;=1000,"Medium Sales",IF(DMart_Sales_Data[[#This Row],[sales]]&lt;1000,"Low Sales")))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5" t="str">
        <f>PROPER(DMart_Sales_Data[[#This Row],[city]])</f>
        <v>Delhi</v>
      </c>
      <c r="O458" s="17" t="s">
        <v>99</v>
      </c>
      <c r="P458" s="66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25">
      <c r="A459" s="8" t="s">
        <v>500</v>
      </c>
      <c r="B459" s="9" t="s">
        <v>575</v>
      </c>
      <c r="C459" s="4" t="s">
        <v>575</v>
      </c>
      <c r="D459" s="10" t="s">
        <v>13</v>
      </c>
      <c r="E459" s="10">
        <v>4284.34</v>
      </c>
      <c r="F459" s="10" t="str">
        <f>IF(DMart_Sales_Data[[#This Row],[sales]]&gt;=3000,"High Sales",IF(DMart_Sales_Data[[#This Row],[sales]]&gt;=1000,"Medium Sales",IF(DMart_Sales_Data[[#This Row],[sales]]&lt;1000,"Low Sales")))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5" t="str">
        <f>PROPER(DMart_Sales_Data[[#This Row],[city]])</f>
        <v>Bangalore</v>
      </c>
      <c r="O459" s="12" t="s">
        <v>16</v>
      </c>
      <c r="P459" s="66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25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15" t="str">
        <f>IF(DMart_Sales_Data[[#This Row],[sales]]&gt;=3000,"High Sales",IF(DMart_Sales_Data[[#This Row],[sales]]&gt;=1000,"Medium Sales",IF(DMart_Sales_Data[[#This Row],[sales]]&lt;1000,"Low Sales")))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5" t="str">
        <f>PROPER(DMart_Sales_Data[[#This Row],[city]])</f>
        <v>Mumbai</v>
      </c>
      <c r="O460" s="17" t="s">
        <v>54</v>
      </c>
      <c r="P460" s="66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25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10" t="str">
        <f>IF(DMart_Sales_Data[[#This Row],[sales]]&gt;=3000,"High Sales",IF(DMart_Sales_Data[[#This Row],[sales]]&gt;=1000,"Medium Sales",IF(DMart_Sales_Data[[#This Row],[sales]]&lt;1000,"Low Sales")))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5" t="str">
        <f>PROPER(DMart_Sales_Data[[#This Row],[city]])</f>
        <v>Delhi</v>
      </c>
      <c r="O461" s="12" t="s">
        <v>64</v>
      </c>
      <c r="P461" s="66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25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15" t="str">
        <f>IF(DMart_Sales_Data[[#This Row],[sales]]&gt;=3000,"High Sales",IF(DMart_Sales_Data[[#This Row],[sales]]&gt;=1000,"Medium Sales",IF(DMart_Sales_Data[[#This Row],[sales]]&lt;1000,"Low Sales")))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5" t="str">
        <f>PROPER(DMart_Sales_Data[[#This Row],[city]])</f>
        <v>Bangalore</v>
      </c>
      <c r="O462" s="17" t="s">
        <v>51</v>
      </c>
      <c r="P462" s="66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25">
      <c r="A463" s="8" t="s">
        <v>504</v>
      </c>
      <c r="B463" s="9" t="s">
        <v>575</v>
      </c>
      <c r="C463" s="4" t="s">
        <v>575</v>
      </c>
      <c r="D463" s="10" t="s">
        <v>24</v>
      </c>
      <c r="E463" s="10">
        <v>3938.09</v>
      </c>
      <c r="F463" s="10" t="str">
        <f>IF(DMart_Sales_Data[[#This Row],[sales]]&gt;=3000,"High Sales",IF(DMart_Sales_Data[[#This Row],[sales]]&gt;=1000,"Medium Sales",IF(DMart_Sales_Data[[#This Row],[sales]]&lt;1000,"Low Sales")))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5" t="str">
        <f>PROPER(DMart_Sales_Data[[#This Row],[city]])</f>
        <v>Chennai</v>
      </c>
      <c r="O463" s="12" t="s">
        <v>67</v>
      </c>
      <c r="P463" s="66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25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15" t="str">
        <f>IF(DMart_Sales_Data[[#This Row],[sales]]&gt;=3000,"High Sales",IF(DMart_Sales_Data[[#This Row],[sales]]&gt;=1000,"Medium Sales",IF(DMart_Sales_Data[[#This Row],[sales]]&lt;1000,"Low Sales")))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5" t="str">
        <f>PROPER(DMart_Sales_Data[[#This Row],[city]])</f>
        <v>Bangalore</v>
      </c>
      <c r="O464" s="17" t="s">
        <v>51</v>
      </c>
      <c r="P464" s="66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25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10" t="str">
        <f>IF(DMart_Sales_Data[[#This Row],[sales]]&gt;=3000,"High Sales",IF(DMart_Sales_Data[[#This Row],[sales]]&gt;=1000,"Medium Sales",IF(DMart_Sales_Data[[#This Row],[sales]]&lt;1000,"Low Sales")))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5" t="str">
        <f>PROPER(DMart_Sales_Data[[#This Row],[city]])</f>
        <v>Pune</v>
      </c>
      <c r="O465" s="12" t="s">
        <v>26</v>
      </c>
      <c r="P465" s="66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25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5" t="str">
        <f>PROPER(DMart_Sales_Data[[#This Row],[city]])</f>
        <v>Delhi</v>
      </c>
      <c r="O466" s="17" t="s">
        <v>99</v>
      </c>
      <c r="P466" s="66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25">
      <c r="A467" s="8" t="s">
        <v>508</v>
      </c>
      <c r="B467" s="9" t="s">
        <v>575</v>
      </c>
      <c r="C467" s="4" t="s">
        <v>575</v>
      </c>
      <c r="D467" s="10" t="s">
        <v>18</v>
      </c>
      <c r="E467" s="10">
        <v>4510.07</v>
      </c>
      <c r="F467" s="10" t="str">
        <f>IF(DMart_Sales_Data[[#This Row],[sales]]&gt;=3000,"High Sales",IF(DMart_Sales_Data[[#This Row],[sales]]&gt;=1000,"Medium Sales",IF(DMart_Sales_Data[[#This Row],[sales]]&lt;1000,"Low Sales")))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5" t="str">
        <f>PROPER(DMart_Sales_Data[[#This Row],[city]])</f>
        <v>Mumbai</v>
      </c>
      <c r="O467" s="12" t="s">
        <v>54</v>
      </c>
      <c r="P467" s="66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25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15" t="str">
        <f>IF(DMart_Sales_Data[[#This Row],[sales]]&gt;=3000,"High Sales",IF(DMart_Sales_Data[[#This Row],[sales]]&gt;=1000,"Medium Sales",IF(DMart_Sales_Data[[#This Row],[sales]]&lt;1000,"Low Sales")))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5" t="str">
        <f>PROPER(DMart_Sales_Data[[#This Row],[city]])</f>
        <v>Delhi</v>
      </c>
      <c r="O468" s="17" t="s">
        <v>64</v>
      </c>
      <c r="P468" s="66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25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10" t="str">
        <f>IF(DMart_Sales_Data[[#This Row],[sales]]&gt;=3000,"High Sales",IF(DMart_Sales_Data[[#This Row],[sales]]&gt;=1000,"Medium Sales",IF(DMart_Sales_Data[[#This Row],[sales]]&lt;1000,"Low Sales")))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5" t="str">
        <f>PROPER(DMart_Sales_Data[[#This Row],[city]])</f>
        <v>Mumbai</v>
      </c>
      <c r="O469" s="12" t="s">
        <v>54</v>
      </c>
      <c r="P469" s="66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25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15" t="str">
        <f>IF(DMart_Sales_Data[[#This Row],[sales]]&gt;=3000,"High Sales",IF(DMart_Sales_Data[[#This Row],[sales]]&gt;=1000,"Medium Sales",IF(DMart_Sales_Data[[#This Row],[sales]]&lt;1000,"Low Sales")))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5" t="str">
        <f>PROPER(DMart_Sales_Data[[#This Row],[city]])</f>
        <v>Chennai</v>
      </c>
      <c r="O470" s="17" t="s">
        <v>43</v>
      </c>
      <c r="P470" s="66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25">
      <c r="A471" s="8" t="s">
        <v>512</v>
      </c>
      <c r="B471" s="9" t="s">
        <v>575</v>
      </c>
      <c r="C471" s="4" t="s">
        <v>575</v>
      </c>
      <c r="D471" s="10" t="s">
        <v>33</v>
      </c>
      <c r="E471" s="10">
        <v>298.98</v>
      </c>
      <c r="F471" s="10" t="str">
        <f>IF(DMart_Sales_Data[[#This Row],[sales]]&gt;=3000,"High Sales",IF(DMart_Sales_Data[[#This Row],[sales]]&gt;=1000,"Medium Sales",IF(DMart_Sales_Data[[#This Row],[sales]]&lt;1000,"Low Sales")))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5" t="str">
        <f>PROPER(DMart_Sales_Data[[#This Row],[city]])</f>
        <v>Pune</v>
      </c>
      <c r="O471" s="12" t="s">
        <v>26</v>
      </c>
      <c r="P471" s="66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25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15" t="str">
        <f>IF(DMart_Sales_Data[[#This Row],[sales]]&gt;=3000,"High Sales",IF(DMart_Sales_Data[[#This Row],[sales]]&gt;=1000,"Medium Sales",IF(DMart_Sales_Data[[#This Row],[sales]]&lt;1000,"Low Sales")))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5" t="str">
        <f>PROPER(DMart_Sales_Data[[#This Row],[city]])</f>
        <v>Delhi</v>
      </c>
      <c r="O472" s="17" t="s">
        <v>99</v>
      </c>
      <c r="P472" s="66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25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10" t="str">
        <f>IF(DMart_Sales_Data[[#This Row],[sales]]&gt;=3000,"High Sales",IF(DMart_Sales_Data[[#This Row],[sales]]&gt;=1000,"Medium Sales",IF(DMart_Sales_Data[[#This Row],[sales]]&lt;1000,"Low Sales")))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5" t="str">
        <f>PROPER(DMart_Sales_Data[[#This Row],[city]])</f>
        <v>Chennai</v>
      </c>
      <c r="O473" s="12" t="s">
        <v>40</v>
      </c>
      <c r="P473" s="66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25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15" t="str">
        <f>IF(DMart_Sales_Data[[#This Row],[sales]]&gt;=3000,"High Sales",IF(DMart_Sales_Data[[#This Row],[sales]]&gt;=1000,"Medium Sales",IF(DMart_Sales_Data[[#This Row],[sales]]&lt;1000,"Low Sales")))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5" t="str">
        <f>PROPER(DMart_Sales_Data[[#This Row],[city]])</f>
        <v>Mumbai</v>
      </c>
      <c r="O474" s="17" t="s">
        <v>54</v>
      </c>
      <c r="P474" s="66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25">
      <c r="A475" s="8" t="s">
        <v>516</v>
      </c>
      <c r="B475" s="9" t="s">
        <v>575</v>
      </c>
      <c r="C475" s="4" t="s">
        <v>575</v>
      </c>
      <c r="D475" s="10" t="s">
        <v>24</v>
      </c>
      <c r="E475" s="10">
        <v>3284.86</v>
      </c>
      <c r="F475" s="10" t="str">
        <f>IF(DMart_Sales_Data[[#This Row],[sales]]&gt;=3000,"High Sales",IF(DMart_Sales_Data[[#This Row],[sales]]&gt;=1000,"Medium Sales",IF(DMart_Sales_Data[[#This Row],[sales]]&lt;1000,"Low Sales")))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5" t="str">
        <f>PROPER(DMart_Sales_Data[[#This Row],[city]])</f>
        <v>Hyderabad</v>
      </c>
      <c r="O475" s="12" t="s">
        <v>57</v>
      </c>
      <c r="P475" s="66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25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15" t="str">
        <f>IF(DMart_Sales_Data[[#This Row],[sales]]&gt;=3000,"High Sales",IF(DMart_Sales_Data[[#This Row],[sales]]&gt;=1000,"Medium Sales",IF(DMart_Sales_Data[[#This Row],[sales]]&lt;1000,"Low Sales")))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5" t="str">
        <f>PROPER(DMart_Sales_Data[[#This Row],[city]])</f>
        <v>Bangalore</v>
      </c>
      <c r="O476" s="17" t="s">
        <v>16</v>
      </c>
      <c r="P476" s="66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25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10" t="str">
        <f>IF(DMart_Sales_Data[[#This Row],[sales]]&gt;=3000,"High Sales",IF(DMart_Sales_Data[[#This Row],[sales]]&gt;=1000,"Medium Sales",IF(DMart_Sales_Data[[#This Row],[sales]]&lt;1000,"Low Sales")))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5" t="str">
        <f>PROPER(DMart_Sales_Data[[#This Row],[city]])</f>
        <v>Delhi</v>
      </c>
      <c r="O477" s="12" t="s">
        <v>64</v>
      </c>
      <c r="P477" s="66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25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15" t="str">
        <f>IF(DMart_Sales_Data[[#This Row],[sales]]&gt;=3000,"High Sales",IF(DMart_Sales_Data[[#This Row],[sales]]&gt;=1000,"Medium Sales",IF(DMart_Sales_Data[[#This Row],[sales]]&lt;1000,"Low Sales")))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5" t="str">
        <f>PROPER(DMart_Sales_Data[[#This Row],[city]])</f>
        <v>Pune</v>
      </c>
      <c r="O478" s="17" t="s">
        <v>26</v>
      </c>
      <c r="P478" s="66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25">
      <c r="A479" s="8" t="s">
        <v>520</v>
      </c>
      <c r="B479" s="9" t="s">
        <v>575</v>
      </c>
      <c r="C479" s="4" t="s">
        <v>575</v>
      </c>
      <c r="D479" s="10" t="s">
        <v>33</v>
      </c>
      <c r="E479" s="10">
        <v>2654.31</v>
      </c>
      <c r="F479" s="10" t="str">
        <f>IF(DMart_Sales_Data[[#This Row],[sales]]&gt;=3000,"High Sales",IF(DMart_Sales_Data[[#This Row],[sales]]&gt;=1000,"Medium Sales",IF(DMart_Sales_Data[[#This Row],[sales]]&lt;1000,"Low Sales")))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5" t="str">
        <f>PROPER(DMart_Sales_Data[[#This Row],[city]])</f>
        <v>Chennai</v>
      </c>
      <c r="O479" s="12" t="s">
        <v>43</v>
      </c>
      <c r="P479" s="66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25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15" t="str">
        <f>IF(DMart_Sales_Data[[#This Row],[sales]]&gt;=3000,"High Sales",IF(DMart_Sales_Data[[#This Row],[sales]]&gt;=1000,"Medium Sales",IF(DMart_Sales_Data[[#This Row],[sales]]&lt;1000,"Low Sales")))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5" t="str">
        <f>PROPER(DMart_Sales_Data[[#This Row],[city]])</f>
        <v>Chennai</v>
      </c>
      <c r="O480" s="17" t="s">
        <v>67</v>
      </c>
      <c r="P480" s="66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25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10" t="str">
        <f>IF(DMart_Sales_Data[[#This Row],[sales]]&gt;=3000,"High Sales",IF(DMart_Sales_Data[[#This Row],[sales]]&gt;=1000,"Medium Sales",IF(DMart_Sales_Data[[#This Row],[sales]]&lt;1000,"Low Sales")))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5" t="str">
        <f>PROPER(DMart_Sales_Data[[#This Row],[city]])</f>
        <v>Delhi</v>
      </c>
      <c r="O481" s="12" t="s">
        <v>99</v>
      </c>
      <c r="P481" s="66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25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15" t="str">
        <f>IF(DMart_Sales_Data[[#This Row],[sales]]&gt;=3000,"High Sales",IF(DMart_Sales_Data[[#This Row],[sales]]&gt;=1000,"Medium Sales",IF(DMart_Sales_Data[[#This Row],[sales]]&lt;1000,"Low Sales")))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5" t="str">
        <f>PROPER(DMart_Sales_Data[[#This Row],[city]])</f>
        <v>Delhi</v>
      </c>
      <c r="O482" s="17" t="s">
        <v>62</v>
      </c>
      <c r="P482" s="66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25">
      <c r="A483" s="8" t="s">
        <v>524</v>
      </c>
      <c r="B483" s="9" t="s">
        <v>575</v>
      </c>
      <c r="C483" s="4" t="s">
        <v>575</v>
      </c>
      <c r="D483" s="10" t="s">
        <v>24</v>
      </c>
      <c r="E483" s="10">
        <v>3771.68</v>
      </c>
      <c r="F483" s="10" t="str">
        <f>IF(DMart_Sales_Data[[#This Row],[sales]]&gt;=3000,"High Sales",IF(DMart_Sales_Data[[#This Row],[sales]]&gt;=1000,"Medium Sales",IF(DMart_Sales_Data[[#This Row],[sales]]&lt;1000,"Low Sales")))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5" t="str">
        <f>PROPER(DMart_Sales_Data[[#This Row],[city]])</f>
        <v>Hyderabad</v>
      </c>
      <c r="O483" s="12" t="s">
        <v>57</v>
      </c>
      <c r="P483" s="66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25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15" t="str">
        <f>IF(DMart_Sales_Data[[#This Row],[sales]]&gt;=3000,"High Sales",IF(DMart_Sales_Data[[#This Row],[sales]]&gt;=1000,"Medium Sales",IF(DMart_Sales_Data[[#This Row],[sales]]&lt;1000,"Low Sales")))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5" t="str">
        <f>PROPER(DMart_Sales_Data[[#This Row],[city]])</f>
        <v>Delhi</v>
      </c>
      <c r="O484" s="17" t="s">
        <v>64</v>
      </c>
      <c r="P484" s="66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25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10" t="str">
        <f>IF(DMart_Sales_Data[[#This Row],[sales]]&gt;=3000,"High Sales",IF(DMart_Sales_Data[[#This Row],[sales]]&gt;=1000,"Medium Sales",IF(DMart_Sales_Data[[#This Row],[sales]]&lt;1000,"Low Sales")))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5" t="str">
        <f>PROPER(DMart_Sales_Data[[#This Row],[city]])</f>
        <v>Bangalore</v>
      </c>
      <c r="O485" s="12" t="s">
        <v>94</v>
      </c>
      <c r="P485" s="66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25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15" t="str">
        <f>IF(DMart_Sales_Data[[#This Row],[sales]]&gt;=3000,"High Sales",IF(DMart_Sales_Data[[#This Row],[sales]]&gt;=1000,"Medium Sales",IF(DMart_Sales_Data[[#This Row],[sales]]&lt;1000,"Low Sales")))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5" t="str">
        <f>PROPER(DMart_Sales_Data[[#This Row],[city]])</f>
        <v>Delhi</v>
      </c>
      <c r="O486" s="17" t="s">
        <v>62</v>
      </c>
      <c r="P486" s="66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25">
      <c r="A487" s="8" t="s">
        <v>528</v>
      </c>
      <c r="B487" s="9" t="s">
        <v>575</v>
      </c>
      <c r="C487" s="4" t="s">
        <v>575</v>
      </c>
      <c r="D487" s="10" t="s">
        <v>36</v>
      </c>
      <c r="E487" s="10">
        <v>4878</v>
      </c>
      <c r="F487" s="10" t="str">
        <f>IF(DMart_Sales_Data[[#This Row],[sales]]&gt;=3000,"High Sales",IF(DMart_Sales_Data[[#This Row],[sales]]&gt;=1000,"Medium Sales",IF(DMart_Sales_Data[[#This Row],[sales]]&lt;1000,"Low Sales")))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5" t="str">
        <f>PROPER(DMart_Sales_Data[[#This Row],[city]])</f>
        <v>Delhi</v>
      </c>
      <c r="O487" s="12" t="s">
        <v>99</v>
      </c>
      <c r="P487" s="66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25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15" t="str">
        <f>IF(DMart_Sales_Data[[#This Row],[sales]]&gt;=3000,"High Sales",IF(DMart_Sales_Data[[#This Row],[sales]]&gt;=1000,"Medium Sales",IF(DMart_Sales_Data[[#This Row],[sales]]&lt;1000,"Low Sales")))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5" t="str">
        <f>PROPER(DMart_Sales_Data[[#This Row],[city]])</f>
        <v>Pune</v>
      </c>
      <c r="O488" s="17" t="s">
        <v>26</v>
      </c>
      <c r="P488" s="66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25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10" t="str">
        <f>IF(DMart_Sales_Data[[#This Row],[sales]]&gt;=3000,"High Sales",IF(DMart_Sales_Data[[#This Row],[sales]]&gt;=1000,"Medium Sales",IF(DMart_Sales_Data[[#This Row],[sales]]&lt;1000,"Low Sales")))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5" t="str">
        <f>PROPER(DMart_Sales_Data[[#This Row],[city]])</f>
        <v>Hyderabad</v>
      </c>
      <c r="O489" s="12" t="s">
        <v>29</v>
      </c>
      <c r="P489" s="66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25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15" t="str">
        <f>IF(DMart_Sales_Data[[#This Row],[sales]]&gt;=3000,"High Sales",IF(DMart_Sales_Data[[#This Row],[sales]]&gt;=1000,"Medium Sales",IF(DMart_Sales_Data[[#This Row],[sales]]&lt;1000,"Low Sales")))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5" t="str">
        <f>PROPER(DMart_Sales_Data[[#This Row],[city]])</f>
        <v>Pune</v>
      </c>
      <c r="O490" s="17" t="s">
        <v>47</v>
      </c>
      <c r="P490" s="66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25">
      <c r="A491" s="8" t="s">
        <v>532</v>
      </c>
      <c r="B491" s="9" t="s">
        <v>575</v>
      </c>
      <c r="C491" s="4" t="s">
        <v>575</v>
      </c>
      <c r="D491" s="10" t="s">
        <v>24</v>
      </c>
      <c r="E491" s="10">
        <v>2688.79</v>
      </c>
      <c r="F491" s="10" t="str">
        <f>IF(DMart_Sales_Data[[#This Row],[sales]]&gt;=3000,"High Sales",IF(DMart_Sales_Data[[#This Row],[sales]]&gt;=1000,"Medium Sales",IF(DMart_Sales_Data[[#This Row],[sales]]&lt;1000,"Low Sales")))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5" t="str">
        <f>PROPER(DMart_Sales_Data[[#This Row],[city]])</f>
        <v>Mumbai</v>
      </c>
      <c r="O491" s="12" t="s">
        <v>78</v>
      </c>
      <c r="P491" s="66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25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15" t="str">
        <f>IF(DMart_Sales_Data[[#This Row],[sales]]&gt;=3000,"High Sales",IF(DMart_Sales_Data[[#This Row],[sales]]&gt;=1000,"Medium Sales",IF(DMart_Sales_Data[[#This Row],[sales]]&lt;1000,"Low Sales")))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5" t="str">
        <f>PROPER(DMart_Sales_Data[[#This Row],[city]])</f>
        <v>Hyderabad</v>
      </c>
      <c r="O492" s="17" t="s">
        <v>29</v>
      </c>
      <c r="P492" s="66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25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10" t="str">
        <f>IF(DMart_Sales_Data[[#This Row],[sales]]&gt;=3000,"High Sales",IF(DMart_Sales_Data[[#This Row],[sales]]&gt;=1000,"Medium Sales",IF(DMart_Sales_Data[[#This Row],[sales]]&lt;1000,"Low Sales")))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5" t="str">
        <f>PROPER(DMart_Sales_Data[[#This Row],[city]])</f>
        <v>Chennai</v>
      </c>
      <c r="O493" s="12" t="s">
        <v>43</v>
      </c>
      <c r="P493" s="66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25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15" t="str">
        <f>IF(DMart_Sales_Data[[#This Row],[sales]]&gt;=3000,"High Sales",IF(DMart_Sales_Data[[#This Row],[sales]]&gt;=1000,"Medium Sales",IF(DMart_Sales_Data[[#This Row],[sales]]&lt;1000,"Low Sales")))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5" t="str">
        <f>PROPER(DMart_Sales_Data[[#This Row],[city]])</f>
        <v>Pune</v>
      </c>
      <c r="O494" s="17" t="s">
        <v>47</v>
      </c>
      <c r="P494" s="66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25">
      <c r="A495" s="8" t="s">
        <v>536</v>
      </c>
      <c r="B495" s="9" t="s">
        <v>575</v>
      </c>
      <c r="C495" s="4" t="s">
        <v>575</v>
      </c>
      <c r="D495" s="10" t="s">
        <v>36</v>
      </c>
      <c r="E495" s="10">
        <v>4571.83</v>
      </c>
      <c r="F495" s="10" t="str">
        <f>IF(DMart_Sales_Data[[#This Row],[sales]]&gt;=3000,"High Sales",IF(DMart_Sales_Data[[#This Row],[sales]]&gt;=1000,"Medium Sales",IF(DMart_Sales_Data[[#This Row],[sales]]&lt;1000,"Low Sales")))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5" t="str">
        <f>PROPER(DMart_Sales_Data[[#This Row],[city]])</f>
        <v>Bangalore</v>
      </c>
      <c r="O495" s="12" t="s">
        <v>16</v>
      </c>
      <c r="P495" s="66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25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15" t="str">
        <f>IF(DMart_Sales_Data[[#This Row],[sales]]&gt;=3000,"High Sales",IF(DMart_Sales_Data[[#This Row],[sales]]&gt;=1000,"Medium Sales",IF(DMart_Sales_Data[[#This Row],[sales]]&lt;1000,"Low Sales")))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5" t="str">
        <f>PROPER(DMart_Sales_Data[[#This Row],[city]])</f>
        <v>Mumbai</v>
      </c>
      <c r="O496" s="17" t="s">
        <v>21</v>
      </c>
      <c r="P496" s="66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25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10" t="str">
        <f>IF(DMart_Sales_Data[[#This Row],[sales]]&gt;=3000,"High Sales",IF(DMart_Sales_Data[[#This Row],[sales]]&gt;=1000,"Medium Sales",IF(DMart_Sales_Data[[#This Row],[sales]]&lt;1000,"Low Sales")))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5" t="str">
        <f>PROPER(DMart_Sales_Data[[#This Row],[city]])</f>
        <v>Mumbai</v>
      </c>
      <c r="O497" s="12" t="s">
        <v>21</v>
      </c>
      <c r="P497" s="66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25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15" t="str">
        <f>IF(DMart_Sales_Data[[#This Row],[sales]]&gt;=3000,"High Sales",IF(DMart_Sales_Data[[#This Row],[sales]]&gt;=1000,"Medium Sales",IF(DMart_Sales_Data[[#This Row],[sales]]&lt;1000,"Low Sales")))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5" t="str">
        <f>PROPER(DMart_Sales_Data[[#This Row],[city]])</f>
        <v>Bangalore</v>
      </c>
      <c r="O498" s="17" t="s">
        <v>94</v>
      </c>
      <c r="P498" s="66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25">
      <c r="A499" s="8" t="s">
        <v>540</v>
      </c>
      <c r="B499" s="9" t="s">
        <v>575</v>
      </c>
      <c r="C499" s="4" t="s">
        <v>575</v>
      </c>
      <c r="D499" s="10" t="s">
        <v>33</v>
      </c>
      <c r="E499" s="10">
        <v>1550.13</v>
      </c>
      <c r="F499" s="10" t="str">
        <f>IF(DMart_Sales_Data[[#This Row],[sales]]&gt;=3000,"High Sales",IF(DMart_Sales_Data[[#This Row],[sales]]&gt;=1000,"Medium Sales",IF(DMart_Sales_Data[[#This Row],[sales]]&lt;1000,"Low Sales")))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5" t="str">
        <f>PROPER(DMart_Sales_Data[[#This Row],[city]])</f>
        <v>Bangalore</v>
      </c>
      <c r="O499" s="12" t="s">
        <v>94</v>
      </c>
      <c r="P499" s="66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2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2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2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2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2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2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2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2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7" type="noConversion"/>
  <conditionalFormatting sqref="E1:F1048576">
    <cfRule type="top10" dxfId="3" priority="2" bottom="1" rank="10"/>
    <cfRule type="top10" dxfId="2" priority="3" rank="10"/>
  </conditionalFormatting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" priority="1" operator="greaterThan">
      <formula>5</formula>
    </cfRule>
  </conditionalFormatting>
  <pageMargins left="0.7" right="0.7" top="0.75" bottom="0.75" header="0" footer="0"/>
  <pageSetup orientation="landscape"/>
  <ignoredErrors>
    <ignoredError sqref="N1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15" workbookViewId="0">
      <selection activeCell="C13" sqref="C13"/>
    </sheetView>
  </sheetViews>
  <sheetFormatPr defaultRowHeight="15" x14ac:dyDescent="0.25"/>
  <cols>
    <col min="1" max="1" width="11.140625" bestFit="1" customWidth="1"/>
    <col min="2" max="2" width="10.7109375" bestFit="1" customWidth="1"/>
    <col min="3" max="3" width="17.7109375" bestFit="1" customWidth="1"/>
    <col min="4" max="4" width="22" bestFit="1" customWidth="1"/>
    <col min="5" max="5" width="10.85546875" bestFit="1" customWidth="1"/>
    <col min="6" max="7" width="15.28515625" bestFit="1" customWidth="1"/>
  </cols>
  <sheetData>
    <row r="1" spans="1:7" x14ac:dyDescent="0.25">
      <c r="A1" t="s">
        <v>545</v>
      </c>
      <c r="B1" t="s">
        <v>544</v>
      </c>
      <c r="C1" t="s">
        <v>543</v>
      </c>
      <c r="D1" t="s">
        <v>558</v>
      </c>
      <c r="E1" t="s">
        <v>563</v>
      </c>
      <c r="F1" t="s">
        <v>568</v>
      </c>
      <c r="G1" t="s">
        <v>573</v>
      </c>
    </row>
    <row r="2" spans="1:7" x14ac:dyDescent="0.25">
      <c r="A2" t="s">
        <v>546</v>
      </c>
      <c r="B2" t="s">
        <v>547</v>
      </c>
      <c r="C2" t="s">
        <v>555</v>
      </c>
      <c r="D2" s="24" t="s">
        <v>559</v>
      </c>
      <c r="E2" t="s">
        <v>564</v>
      </c>
      <c r="F2" t="s">
        <v>569</v>
      </c>
      <c r="G2">
        <v>8827472728</v>
      </c>
    </row>
    <row r="3" spans="1:7" x14ac:dyDescent="0.25">
      <c r="A3" t="s">
        <v>548</v>
      </c>
      <c r="B3" t="s">
        <v>549</v>
      </c>
      <c r="C3" t="s">
        <v>556</v>
      </c>
      <c r="D3" s="24" t="s">
        <v>561</v>
      </c>
      <c r="E3" t="s">
        <v>565</v>
      </c>
      <c r="F3" t="s">
        <v>570</v>
      </c>
      <c r="G3">
        <v>9454959579</v>
      </c>
    </row>
    <row r="4" spans="1:7" x14ac:dyDescent="0.25">
      <c r="A4" t="s">
        <v>550</v>
      </c>
      <c r="B4" t="s">
        <v>551</v>
      </c>
      <c r="C4" t="s">
        <v>554</v>
      </c>
      <c r="D4" s="24" t="s">
        <v>562</v>
      </c>
      <c r="E4" t="s">
        <v>566</v>
      </c>
      <c r="F4" t="s">
        <v>571</v>
      </c>
      <c r="G4">
        <v>7785646599</v>
      </c>
    </row>
    <row r="5" spans="1:7" x14ac:dyDescent="0.25">
      <c r="A5" t="s">
        <v>552</v>
      </c>
      <c r="B5" t="s">
        <v>553</v>
      </c>
      <c r="C5" t="s">
        <v>557</v>
      </c>
      <c r="D5" s="24" t="s">
        <v>560</v>
      </c>
      <c r="E5" t="s">
        <v>567</v>
      </c>
      <c r="F5" t="s">
        <v>572</v>
      </c>
      <c r="G5">
        <v>7549939920</v>
      </c>
    </row>
  </sheetData>
  <hyperlinks>
    <hyperlink ref="D2" r:id="rId1" xr:uid="{5D2A7142-21FE-4ADF-9C67-0CDFB597153E}"/>
    <hyperlink ref="D3" r:id="rId2" xr:uid="{256984ED-FDE2-4887-9C24-A511219DC5F0}"/>
    <hyperlink ref="D4" r:id="rId3" xr:uid="{229CDDD4-5401-4685-B226-4BA0A0033410}"/>
    <hyperlink ref="D5" r:id="rId4" xr:uid="{FB1058D7-B64E-4C05-A7AA-AC40EB0E90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E32"/>
  <sheetViews>
    <sheetView zoomScale="88" workbookViewId="0">
      <selection activeCell="T9" sqref="T9"/>
    </sheetView>
  </sheetViews>
  <sheetFormatPr defaultRowHeight="15" x14ac:dyDescent="0.25"/>
  <cols>
    <col min="1" max="1" width="15.85546875" bestFit="1" customWidth="1"/>
    <col min="3" max="3" width="10" bestFit="1" customWidth="1"/>
  </cols>
  <sheetData>
    <row r="1" spans="1:5" s="95" customFormat="1" x14ac:dyDescent="0.25">
      <c r="A1" s="25" t="s">
        <v>581</v>
      </c>
      <c r="C1" s="25" t="s">
        <v>582</v>
      </c>
    </row>
    <row r="2" spans="1:5" x14ac:dyDescent="0.25">
      <c r="A2" s="94" t="s">
        <v>580</v>
      </c>
      <c r="C2" s="94" t="s">
        <v>583</v>
      </c>
    </row>
    <row r="3" spans="1:5" x14ac:dyDescent="0.25">
      <c r="A3" s="26" t="s">
        <v>577</v>
      </c>
      <c r="C3" s="26" t="s">
        <v>587</v>
      </c>
      <c r="E3">
        <f>COUNTIF(C2:C32,C2)</f>
        <v>4</v>
      </c>
    </row>
    <row r="4" spans="1:5" x14ac:dyDescent="0.25">
      <c r="A4" s="26" t="s">
        <v>579</v>
      </c>
      <c r="C4" s="26" t="s">
        <v>584</v>
      </c>
      <c r="E4">
        <f t="shared" ref="E4:E23" si="0">COUNTIF(C3:C33,C3)</f>
        <v>3</v>
      </c>
    </row>
    <row r="5" spans="1:5" x14ac:dyDescent="0.25">
      <c r="A5" s="26" t="s">
        <v>578</v>
      </c>
      <c r="C5" s="26" t="s">
        <v>585</v>
      </c>
      <c r="E5">
        <f t="shared" si="0"/>
        <v>3</v>
      </c>
    </row>
    <row r="6" spans="1:5" x14ac:dyDescent="0.25">
      <c r="A6" s="26" t="s">
        <v>580</v>
      </c>
      <c r="C6" s="26" t="s">
        <v>586</v>
      </c>
      <c r="E6">
        <f t="shared" si="0"/>
        <v>3</v>
      </c>
    </row>
    <row r="7" spans="1:5" x14ac:dyDescent="0.25">
      <c r="A7" s="26" t="s">
        <v>577</v>
      </c>
      <c r="C7" s="26" t="s">
        <v>588</v>
      </c>
      <c r="E7">
        <f t="shared" si="0"/>
        <v>3</v>
      </c>
    </row>
    <row r="8" spans="1:5" x14ac:dyDescent="0.25">
      <c r="A8" s="26" t="s">
        <v>579</v>
      </c>
      <c r="C8" s="26" t="s">
        <v>589</v>
      </c>
      <c r="E8">
        <f t="shared" si="0"/>
        <v>3</v>
      </c>
    </row>
    <row r="9" spans="1:5" x14ac:dyDescent="0.25">
      <c r="A9" s="26" t="s">
        <v>578</v>
      </c>
      <c r="C9" s="26" t="s">
        <v>590</v>
      </c>
      <c r="E9">
        <f t="shared" si="0"/>
        <v>3</v>
      </c>
    </row>
    <row r="10" spans="1:5" x14ac:dyDescent="0.25">
      <c r="A10" s="26" t="s">
        <v>580</v>
      </c>
      <c r="C10" s="26" t="s">
        <v>591</v>
      </c>
      <c r="E10">
        <f t="shared" si="0"/>
        <v>3</v>
      </c>
    </row>
    <row r="11" spans="1:5" x14ac:dyDescent="0.25">
      <c r="A11" s="26" t="s">
        <v>577</v>
      </c>
      <c r="C11" s="26" t="s">
        <v>592</v>
      </c>
      <c r="E11">
        <f t="shared" si="0"/>
        <v>3</v>
      </c>
    </row>
    <row r="12" spans="1:5" x14ac:dyDescent="0.25">
      <c r="A12" s="26" t="s">
        <v>579</v>
      </c>
      <c r="C12" s="26" t="s">
        <v>583</v>
      </c>
      <c r="E12">
        <f t="shared" si="0"/>
        <v>3</v>
      </c>
    </row>
    <row r="13" spans="1:5" x14ac:dyDescent="0.25">
      <c r="A13" s="26" t="s">
        <v>578</v>
      </c>
      <c r="C13" s="26" t="s">
        <v>587</v>
      </c>
      <c r="E13">
        <f t="shared" si="0"/>
        <v>3</v>
      </c>
    </row>
    <row r="14" spans="1:5" x14ac:dyDescent="0.25">
      <c r="A14" s="26" t="s">
        <v>580</v>
      </c>
      <c r="C14" s="26" t="s">
        <v>584</v>
      </c>
      <c r="E14">
        <f t="shared" si="0"/>
        <v>2</v>
      </c>
    </row>
    <row r="15" spans="1:5" x14ac:dyDescent="0.25">
      <c r="A15" s="26" t="s">
        <v>577</v>
      </c>
      <c r="C15" s="26" t="s">
        <v>585</v>
      </c>
      <c r="E15">
        <f t="shared" si="0"/>
        <v>2</v>
      </c>
    </row>
    <row r="16" spans="1:5" x14ac:dyDescent="0.25">
      <c r="A16" s="26" t="s">
        <v>579</v>
      </c>
      <c r="C16" s="26" t="s">
        <v>586</v>
      </c>
      <c r="E16">
        <f t="shared" si="0"/>
        <v>2</v>
      </c>
    </row>
    <row r="17" spans="1:5" x14ac:dyDescent="0.25">
      <c r="A17" s="26" t="s">
        <v>578</v>
      </c>
      <c r="C17" s="26" t="s">
        <v>588</v>
      </c>
      <c r="E17">
        <f t="shared" si="0"/>
        <v>2</v>
      </c>
    </row>
    <row r="18" spans="1:5" x14ac:dyDescent="0.25">
      <c r="A18" s="26" t="s">
        <v>580</v>
      </c>
      <c r="C18" s="26" t="s">
        <v>589</v>
      </c>
      <c r="E18">
        <f t="shared" si="0"/>
        <v>2</v>
      </c>
    </row>
    <row r="19" spans="1:5" x14ac:dyDescent="0.25">
      <c r="A19" s="26" t="s">
        <v>577</v>
      </c>
      <c r="C19" s="26" t="s">
        <v>590</v>
      </c>
      <c r="E19">
        <f t="shared" si="0"/>
        <v>2</v>
      </c>
    </row>
    <row r="20" spans="1:5" x14ac:dyDescent="0.25">
      <c r="A20" s="26" t="s">
        <v>579</v>
      </c>
      <c r="C20" s="26" t="s">
        <v>591</v>
      </c>
      <c r="E20">
        <f t="shared" si="0"/>
        <v>2</v>
      </c>
    </row>
    <row r="21" spans="1:5" x14ac:dyDescent="0.25">
      <c r="A21" s="26" t="s">
        <v>578</v>
      </c>
      <c r="C21" s="26" t="s">
        <v>592</v>
      </c>
      <c r="E21">
        <f t="shared" si="0"/>
        <v>2</v>
      </c>
    </row>
    <row r="22" spans="1:5" x14ac:dyDescent="0.25">
      <c r="C22" s="26" t="s">
        <v>583</v>
      </c>
      <c r="E22">
        <f t="shared" si="0"/>
        <v>2</v>
      </c>
    </row>
    <row r="23" spans="1:5" x14ac:dyDescent="0.25">
      <c r="C23" s="26" t="s">
        <v>587</v>
      </c>
      <c r="E23">
        <f t="shared" si="0"/>
        <v>2</v>
      </c>
    </row>
    <row r="24" spans="1:5" x14ac:dyDescent="0.25">
      <c r="C24" s="26" t="s">
        <v>584</v>
      </c>
    </row>
    <row r="25" spans="1:5" x14ac:dyDescent="0.25">
      <c r="C25" s="26" t="s">
        <v>585</v>
      </c>
    </row>
    <row r="26" spans="1:5" x14ac:dyDescent="0.25">
      <c r="C26" s="26" t="s">
        <v>586</v>
      </c>
    </row>
    <row r="27" spans="1:5" x14ac:dyDescent="0.25">
      <c r="C27" s="26" t="s">
        <v>588</v>
      </c>
    </row>
    <row r="28" spans="1:5" x14ac:dyDescent="0.25">
      <c r="C28" s="26" t="s">
        <v>589</v>
      </c>
    </row>
    <row r="29" spans="1:5" x14ac:dyDescent="0.25">
      <c r="C29" s="26" t="s">
        <v>590</v>
      </c>
    </row>
    <row r="30" spans="1:5" x14ac:dyDescent="0.25">
      <c r="C30" s="26" t="s">
        <v>591</v>
      </c>
    </row>
    <row r="31" spans="1:5" x14ac:dyDescent="0.25">
      <c r="C31" s="26" t="s">
        <v>592</v>
      </c>
    </row>
    <row r="32" spans="1:5" x14ac:dyDescent="0.25">
      <c r="C32" s="26" t="s">
        <v>583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S46"/>
  <sheetViews>
    <sheetView topLeftCell="B21" zoomScale="83" zoomScaleNormal="118" workbookViewId="0">
      <selection activeCell="Q24" sqref="Q24"/>
    </sheetView>
  </sheetViews>
  <sheetFormatPr defaultRowHeight="15" x14ac:dyDescent="0.25"/>
  <cols>
    <col min="1" max="1" width="15.85546875" bestFit="1" customWidth="1"/>
    <col min="3" max="3" width="22.140625" bestFit="1" customWidth="1"/>
    <col min="4" max="4" width="10.28515625" customWidth="1"/>
    <col min="5" max="5" width="9.5703125" bestFit="1" customWidth="1"/>
    <col min="6" max="6" width="15.42578125" bestFit="1" customWidth="1"/>
    <col min="8" max="8" width="9.5703125" bestFit="1" customWidth="1"/>
    <col min="9" max="9" width="8" bestFit="1" customWidth="1"/>
    <col min="10" max="10" width="11.85546875" customWidth="1"/>
    <col min="11" max="11" width="14.140625" bestFit="1" customWidth="1"/>
    <col min="12" max="12" width="6.42578125" bestFit="1" customWidth="1"/>
    <col min="16" max="16" width="14.5703125" customWidth="1"/>
    <col min="17" max="17" width="13.42578125" bestFit="1" customWidth="1"/>
    <col min="18" max="18" width="22.42578125" bestFit="1" customWidth="1"/>
  </cols>
  <sheetData>
    <row r="1" spans="1:19" ht="15.75" thickBot="1" x14ac:dyDescent="0.3"/>
    <row r="2" spans="1:19" s="37" customFormat="1" x14ac:dyDescent="0.25">
      <c r="A2" s="64" t="s">
        <v>593</v>
      </c>
      <c r="B2" s="57"/>
      <c r="C2" s="57"/>
      <c r="D2" s="58" t="s">
        <v>594</v>
      </c>
      <c r="E2" s="59" t="s">
        <v>577</v>
      </c>
      <c r="F2" s="58" t="s">
        <v>607</v>
      </c>
      <c r="G2" s="57"/>
      <c r="H2" s="60" t="s">
        <v>608</v>
      </c>
      <c r="I2" s="60" t="s">
        <v>609</v>
      </c>
      <c r="J2" s="60" t="s">
        <v>610</v>
      </c>
      <c r="K2" s="60" t="s">
        <v>611</v>
      </c>
      <c r="L2" s="60" t="s">
        <v>612</v>
      </c>
      <c r="M2" s="61"/>
      <c r="O2" s="75"/>
      <c r="P2" s="76" t="s">
        <v>643</v>
      </c>
      <c r="Q2" s="76" t="s">
        <v>644</v>
      </c>
      <c r="R2" s="76" t="s">
        <v>645</v>
      </c>
      <c r="S2" s="77"/>
    </row>
    <row r="3" spans="1:19" x14ac:dyDescent="0.25">
      <c r="A3" s="62" t="s">
        <v>583</v>
      </c>
      <c r="D3" s="31" t="s">
        <v>595</v>
      </c>
      <c r="E3" s="32">
        <v>75757</v>
      </c>
      <c r="F3" s="33" t="str">
        <f>IF(E3&gt;=50000, "Yes", "No")</f>
        <v>Yes</v>
      </c>
      <c r="H3" s="36" t="s">
        <v>583</v>
      </c>
      <c r="I3" s="33">
        <v>80</v>
      </c>
      <c r="J3" s="33">
        <v>92</v>
      </c>
      <c r="K3" s="33">
        <v>73</v>
      </c>
      <c r="L3" s="33" t="str">
        <f>IF(AND(I3&gt;=75,J3&gt;=75),"A+", "A")</f>
        <v>A+</v>
      </c>
      <c r="M3" s="49"/>
      <c r="O3" s="78"/>
      <c r="P3" s="39">
        <v>27</v>
      </c>
      <c r="Q3" s="39">
        <v>6</v>
      </c>
      <c r="R3" s="39">
        <f>P3/Q3</f>
        <v>4.5</v>
      </c>
      <c r="S3" s="79"/>
    </row>
    <row r="4" spans="1:19" x14ac:dyDescent="0.25">
      <c r="A4" s="63" t="s">
        <v>587</v>
      </c>
      <c r="D4" s="29" t="s">
        <v>596</v>
      </c>
      <c r="E4" s="30">
        <v>47474</v>
      </c>
      <c r="F4" s="27" t="str">
        <f t="shared" ref="F4:F14" si="0">IF(E4&gt;=50000, "Yes", "No")</f>
        <v>No</v>
      </c>
      <c r="H4" s="34" t="s">
        <v>587</v>
      </c>
      <c r="I4" s="27">
        <v>96</v>
      </c>
      <c r="J4" s="27">
        <v>81</v>
      </c>
      <c r="K4" s="27">
        <v>98</v>
      </c>
      <c r="L4" s="27" t="str">
        <f>IF(AND(I4&gt;=75,J4&gt;=75),"A+", "A")</f>
        <v>A+</v>
      </c>
      <c r="M4" s="49"/>
      <c r="O4" s="78"/>
      <c r="P4" s="39">
        <v>45</v>
      </c>
      <c r="Q4" s="39">
        <v>7</v>
      </c>
      <c r="R4" s="39">
        <f t="shared" ref="R4:R7" si="1">P4/Q4</f>
        <v>6.4285714285714288</v>
      </c>
      <c r="S4" s="79"/>
    </row>
    <row r="5" spans="1:19" x14ac:dyDescent="0.25">
      <c r="A5" s="63" t="s">
        <v>584</v>
      </c>
      <c r="D5" s="29" t="s">
        <v>597</v>
      </c>
      <c r="E5" s="30">
        <v>65656</v>
      </c>
      <c r="F5" s="27" t="str">
        <f t="shared" si="0"/>
        <v>Yes</v>
      </c>
      <c r="H5" s="34" t="s">
        <v>584</v>
      </c>
      <c r="I5" s="27">
        <v>69</v>
      </c>
      <c r="J5" s="27">
        <v>82</v>
      </c>
      <c r="K5" s="27">
        <v>74</v>
      </c>
      <c r="L5" s="27" t="str">
        <f>IF(AND(I5&gt;=75,J5&gt;=75),"A+", "A")</f>
        <v>A</v>
      </c>
      <c r="M5" s="49"/>
      <c r="O5" s="78"/>
      <c r="P5" s="39">
        <v>65</v>
      </c>
      <c r="Q5" s="39">
        <v>0</v>
      </c>
      <c r="R5" s="39" t="str">
        <f>IFERROR(P5/Q5,"Cannot divide by zero")</f>
        <v>Cannot divide by zero</v>
      </c>
      <c r="S5" s="79"/>
    </row>
    <row r="6" spans="1:19" x14ac:dyDescent="0.25">
      <c r="A6" s="63" t="s">
        <v>585</v>
      </c>
      <c r="D6" s="29" t="s">
        <v>598</v>
      </c>
      <c r="E6" s="30">
        <v>52535</v>
      </c>
      <c r="F6" s="27" t="str">
        <f t="shared" si="0"/>
        <v>Yes</v>
      </c>
      <c r="H6" s="34" t="s">
        <v>613</v>
      </c>
      <c r="I6" s="27">
        <v>89</v>
      </c>
      <c r="J6" s="27">
        <v>79</v>
      </c>
      <c r="K6" s="27">
        <v>93</v>
      </c>
      <c r="L6" s="27" t="str">
        <f t="shared" ref="L6" si="2">IF(AND(I6&gt;=75,J6&gt;=75),"A+", "A")</f>
        <v>A+</v>
      </c>
      <c r="M6" s="49"/>
      <c r="O6" s="78"/>
      <c r="P6" s="39">
        <v>60</v>
      </c>
      <c r="Q6" s="39">
        <v>7</v>
      </c>
      <c r="R6" s="39">
        <f t="shared" si="1"/>
        <v>8.5714285714285712</v>
      </c>
      <c r="S6" s="79"/>
    </row>
    <row r="7" spans="1:19" x14ac:dyDescent="0.25">
      <c r="A7" s="63" t="s">
        <v>586</v>
      </c>
      <c r="D7" s="29" t="s">
        <v>599</v>
      </c>
      <c r="E7" s="30">
        <v>85965</v>
      </c>
      <c r="F7" s="27" t="str">
        <f t="shared" si="0"/>
        <v>Yes</v>
      </c>
      <c r="M7" s="49"/>
      <c r="O7" s="78"/>
      <c r="P7" s="39">
        <v>36</v>
      </c>
      <c r="Q7" s="39">
        <v>8</v>
      </c>
      <c r="R7" s="39">
        <f t="shared" si="1"/>
        <v>4.5</v>
      </c>
      <c r="S7" s="79"/>
    </row>
    <row r="8" spans="1:19" ht="15.75" thickBot="1" x14ac:dyDescent="0.3">
      <c r="A8" s="63" t="s">
        <v>588</v>
      </c>
      <c r="D8" s="29" t="s">
        <v>600</v>
      </c>
      <c r="E8" s="30">
        <v>57869</v>
      </c>
      <c r="F8" s="27" t="str">
        <f t="shared" si="0"/>
        <v>Yes</v>
      </c>
      <c r="M8" s="49"/>
      <c r="O8" s="80"/>
      <c r="P8" s="81"/>
      <c r="Q8" s="81"/>
      <c r="R8" s="81"/>
      <c r="S8" s="82"/>
    </row>
    <row r="9" spans="1:19" x14ac:dyDescent="0.25">
      <c r="A9" s="63" t="s">
        <v>589</v>
      </c>
      <c r="D9" s="29" t="s">
        <v>601</v>
      </c>
      <c r="E9" s="30">
        <v>23598</v>
      </c>
      <c r="F9" s="27" t="str">
        <f t="shared" si="0"/>
        <v>No</v>
      </c>
      <c r="M9" s="49"/>
    </row>
    <row r="10" spans="1:19" x14ac:dyDescent="0.25">
      <c r="A10" s="63" t="s">
        <v>590</v>
      </c>
      <c r="D10" s="29" t="s">
        <v>602</v>
      </c>
      <c r="E10" s="30">
        <v>45698</v>
      </c>
      <c r="F10" s="27" t="str">
        <f t="shared" si="0"/>
        <v>No</v>
      </c>
      <c r="H10" s="35" t="s">
        <v>608</v>
      </c>
      <c r="I10" s="35" t="s">
        <v>614</v>
      </c>
      <c r="J10" s="35" t="s">
        <v>615</v>
      </c>
      <c r="K10" s="35" t="s">
        <v>618</v>
      </c>
      <c r="M10" s="49"/>
    </row>
    <row r="11" spans="1:19" x14ac:dyDescent="0.25">
      <c r="A11" s="63" t="s">
        <v>591</v>
      </c>
      <c r="D11" s="29" t="s">
        <v>603</v>
      </c>
      <c r="E11" s="30">
        <v>84695</v>
      </c>
      <c r="F11" s="27" t="str">
        <f t="shared" si="0"/>
        <v>Yes</v>
      </c>
      <c r="H11" s="34" t="s">
        <v>583</v>
      </c>
      <c r="I11" s="34" t="s">
        <v>616</v>
      </c>
      <c r="J11" s="27">
        <v>80</v>
      </c>
      <c r="K11" s="27" t="str">
        <f>IF(AND(I11="Nagpur",J11&gt;=75),"Shortlisted", "Not Shortlisted")</f>
        <v>Shortlisted</v>
      </c>
      <c r="M11" s="49"/>
      <c r="P11" t="s">
        <v>619</v>
      </c>
    </row>
    <row r="12" spans="1:19" ht="15.75" thickBot="1" x14ac:dyDescent="0.3">
      <c r="A12" s="63" t="s">
        <v>592</v>
      </c>
      <c r="D12" s="29" t="s">
        <v>604</v>
      </c>
      <c r="E12" s="30">
        <v>78564</v>
      </c>
      <c r="F12" s="27" t="str">
        <f t="shared" si="0"/>
        <v>Yes</v>
      </c>
      <c r="H12" s="34" t="s">
        <v>587</v>
      </c>
      <c r="I12" s="34" t="s">
        <v>26</v>
      </c>
      <c r="J12" s="27">
        <v>87</v>
      </c>
      <c r="K12" s="27" t="str">
        <f t="shared" ref="K12:K14" si="3">IF(AND(I12="Nagpur",J12&gt;=75),"Shortlisted", "Not Shortlisted")</f>
        <v>Not Shortlisted</v>
      </c>
      <c r="M12" s="49"/>
    </row>
    <row r="13" spans="1:19" x14ac:dyDescent="0.25">
      <c r="A13" s="48"/>
      <c r="D13" s="29" t="s">
        <v>605</v>
      </c>
      <c r="E13" s="30">
        <v>59846</v>
      </c>
      <c r="F13" s="27" t="str">
        <f t="shared" si="0"/>
        <v>Yes</v>
      </c>
      <c r="H13" s="34" t="s">
        <v>584</v>
      </c>
      <c r="I13" s="34" t="s">
        <v>616</v>
      </c>
      <c r="J13" s="27">
        <v>60</v>
      </c>
      <c r="K13" s="27" t="str">
        <f t="shared" si="3"/>
        <v>Not Shortlisted</v>
      </c>
      <c r="M13" s="49"/>
      <c r="O13" s="83"/>
      <c r="P13" s="84"/>
      <c r="Q13" s="84"/>
      <c r="R13" s="84"/>
      <c r="S13" s="85"/>
    </row>
    <row r="14" spans="1:19" ht="17.25" x14ac:dyDescent="0.25">
      <c r="A14" s="48"/>
      <c r="D14" s="29" t="s">
        <v>606</v>
      </c>
      <c r="E14" s="30">
        <v>24685</v>
      </c>
      <c r="F14" s="27" t="str">
        <f t="shared" si="0"/>
        <v>No</v>
      </c>
      <c r="H14" s="34" t="s">
        <v>613</v>
      </c>
      <c r="I14" s="34" t="s">
        <v>617</v>
      </c>
      <c r="J14" s="27">
        <v>77</v>
      </c>
      <c r="K14" s="27" t="str">
        <f t="shared" si="3"/>
        <v>Not Shortlisted</v>
      </c>
      <c r="M14" s="49"/>
      <c r="O14" s="78"/>
      <c r="P14" s="72" t="s">
        <v>1</v>
      </c>
      <c r="Q14" s="72" t="s">
        <v>652</v>
      </c>
      <c r="R14" s="72" t="s">
        <v>577</v>
      </c>
      <c r="S14" s="79"/>
    </row>
    <row r="15" spans="1:19" ht="18" thickBot="1" x14ac:dyDescent="0.3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2"/>
      <c r="O15" s="78"/>
      <c r="P15" s="73" t="s">
        <v>653</v>
      </c>
      <c r="Q15" s="73" t="s">
        <v>654</v>
      </c>
      <c r="R15" s="74">
        <v>2300</v>
      </c>
      <c r="S15" s="79"/>
    </row>
    <row r="16" spans="1:19" ht="18" thickBot="1" x14ac:dyDescent="0.3">
      <c r="O16" s="78"/>
      <c r="P16" s="73" t="s">
        <v>653</v>
      </c>
      <c r="Q16" s="73" t="s">
        <v>655</v>
      </c>
      <c r="R16" s="74">
        <v>5500</v>
      </c>
      <c r="S16" s="79"/>
    </row>
    <row r="17" spans="4:19" ht="17.25" x14ac:dyDescent="0.25">
      <c r="D17" s="45"/>
      <c r="E17" s="46"/>
      <c r="F17" s="46"/>
      <c r="G17" s="46"/>
      <c r="H17" s="46"/>
      <c r="I17" s="46"/>
      <c r="J17" s="46"/>
      <c r="K17" s="46"/>
      <c r="L17" s="47"/>
      <c r="O17" s="78"/>
      <c r="P17" s="73" t="s">
        <v>656</v>
      </c>
      <c r="Q17" s="73" t="s">
        <v>657</v>
      </c>
      <c r="R17" s="73">
        <v>800</v>
      </c>
      <c r="S17" s="79"/>
    </row>
    <row r="18" spans="4:19" ht="17.25" x14ac:dyDescent="0.25">
      <c r="D18" s="48"/>
      <c r="E18" s="53" t="s">
        <v>608</v>
      </c>
      <c r="F18" s="53" t="s">
        <v>609</v>
      </c>
      <c r="G18" s="54" t="s">
        <v>612</v>
      </c>
      <c r="J18" s="56" t="s">
        <v>636</v>
      </c>
      <c r="K18" s="56" t="s">
        <v>637</v>
      </c>
      <c r="L18" s="49"/>
      <c r="O18" s="78"/>
      <c r="P18" s="73"/>
      <c r="Q18" s="73" t="s">
        <v>658</v>
      </c>
      <c r="R18" s="73">
        <v>400</v>
      </c>
      <c r="S18" s="79"/>
    </row>
    <row r="19" spans="4:19" ht="17.25" x14ac:dyDescent="0.25">
      <c r="D19" s="48"/>
      <c r="E19" s="55" t="s">
        <v>583</v>
      </c>
      <c r="F19" s="39">
        <v>93</v>
      </c>
      <c r="G19" s="39" t="str">
        <f>IF(F19&gt;=90,"A++",IF(F19&gt;=75,"A+",IF(F19&gt;=60,"A",IF(F19&gt;=40,"B",IF(F19&lt;40,"Fail")))))</f>
        <v>A++</v>
      </c>
      <c r="J19" s="44" t="s">
        <v>626</v>
      </c>
      <c r="K19" s="44" t="s">
        <v>627</v>
      </c>
      <c r="L19" s="49"/>
      <c r="O19" s="78"/>
      <c r="P19" s="73" t="s">
        <v>653</v>
      </c>
      <c r="Q19" s="73" t="s">
        <v>659</v>
      </c>
      <c r="R19" s="74">
        <v>4200</v>
      </c>
      <c r="S19" s="79"/>
    </row>
    <row r="20" spans="4:19" ht="17.25" x14ac:dyDescent="0.25">
      <c r="D20" s="48"/>
      <c r="E20" s="55" t="s">
        <v>587</v>
      </c>
      <c r="F20" s="39">
        <v>96</v>
      </c>
      <c r="G20" s="39" t="str">
        <f t="shared" ref="G20:G30" si="4">IF(F20&gt;=90,"A++",IF(F20&gt;=75,"A+",IF(F20&gt;=60,"A",IF(F20&gt;=40,"B",IF(F20&lt;40,"Fail")))))</f>
        <v>A++</v>
      </c>
      <c r="J20" s="44" t="s">
        <v>628</v>
      </c>
      <c r="K20" s="44" t="s">
        <v>629</v>
      </c>
      <c r="L20" s="49"/>
      <c r="O20" s="78"/>
      <c r="P20" s="73" t="s">
        <v>656</v>
      </c>
      <c r="Q20" s="73" t="s">
        <v>660</v>
      </c>
      <c r="R20" s="74">
        <v>1200</v>
      </c>
      <c r="S20" s="79"/>
    </row>
    <row r="21" spans="4:19" x14ac:dyDescent="0.25">
      <c r="D21" s="48"/>
      <c r="E21" s="55" t="s">
        <v>584</v>
      </c>
      <c r="F21" s="39">
        <v>88</v>
      </c>
      <c r="G21" s="39" t="str">
        <f t="shared" si="4"/>
        <v>A+</v>
      </c>
      <c r="J21" s="44" t="s">
        <v>631</v>
      </c>
      <c r="K21" s="44" t="s">
        <v>633</v>
      </c>
      <c r="L21" s="49"/>
      <c r="O21" s="78"/>
      <c r="R21">
        <f>SUMIF(P15:P20,"Fruits",R15:R20)</f>
        <v>2000</v>
      </c>
      <c r="S21" s="79"/>
    </row>
    <row r="22" spans="4:19" x14ac:dyDescent="0.25">
      <c r="D22" s="48"/>
      <c r="E22" s="55"/>
      <c r="F22" s="39"/>
      <c r="G22" s="39"/>
      <c r="J22" s="44"/>
      <c r="K22" s="44"/>
      <c r="L22" s="49"/>
      <c r="O22" s="78"/>
      <c r="S22" s="79"/>
    </row>
    <row r="23" spans="4:19" x14ac:dyDescent="0.25">
      <c r="D23" s="48"/>
      <c r="E23" s="55"/>
      <c r="F23" s="39"/>
      <c r="G23" s="39"/>
      <c r="J23" s="44"/>
      <c r="K23" s="44"/>
      <c r="L23" s="49"/>
      <c r="O23" s="78"/>
      <c r="S23" s="79"/>
    </row>
    <row r="24" spans="4:19" ht="15.75" thickBot="1" x14ac:dyDescent="0.3">
      <c r="D24" s="48"/>
      <c r="E24" s="55" t="s">
        <v>613</v>
      </c>
      <c r="F24" s="39">
        <v>89</v>
      </c>
      <c r="G24" s="39" t="str">
        <f t="shared" si="4"/>
        <v>A+</v>
      </c>
      <c r="J24" s="44" t="s">
        <v>632</v>
      </c>
      <c r="K24" s="44" t="s">
        <v>630</v>
      </c>
      <c r="L24" s="49"/>
      <c r="O24" s="80"/>
      <c r="P24" s="81"/>
      <c r="Q24" s="81"/>
      <c r="R24" s="81"/>
      <c r="S24" s="82"/>
    </row>
    <row r="25" spans="4:19" x14ac:dyDescent="0.25">
      <c r="D25" s="48"/>
      <c r="E25" s="44" t="s">
        <v>620</v>
      </c>
      <c r="F25" s="39">
        <v>57</v>
      </c>
      <c r="G25" s="39" t="str">
        <f t="shared" si="4"/>
        <v>B</v>
      </c>
      <c r="J25" s="44" t="s">
        <v>634</v>
      </c>
      <c r="K25" s="44" t="s">
        <v>635</v>
      </c>
      <c r="L25" s="49"/>
    </row>
    <row r="26" spans="4:19" x14ac:dyDescent="0.25">
      <c r="D26" s="48"/>
      <c r="E26" s="44" t="s">
        <v>621</v>
      </c>
      <c r="F26" s="39">
        <v>64</v>
      </c>
      <c r="G26" s="39" t="str">
        <f t="shared" si="4"/>
        <v>A</v>
      </c>
      <c r="L26" s="49"/>
    </row>
    <row r="27" spans="4:19" x14ac:dyDescent="0.25">
      <c r="D27" s="48"/>
      <c r="E27" s="44" t="s">
        <v>622</v>
      </c>
      <c r="F27" s="39">
        <v>39</v>
      </c>
      <c r="G27" s="39" t="str">
        <f t="shared" si="4"/>
        <v>Fail</v>
      </c>
      <c r="L27" s="49"/>
    </row>
    <row r="28" spans="4:19" x14ac:dyDescent="0.25">
      <c r="D28" s="48"/>
      <c r="E28" s="44" t="s">
        <v>623</v>
      </c>
      <c r="F28" s="39">
        <v>42</v>
      </c>
      <c r="G28" s="39" t="str">
        <f t="shared" si="4"/>
        <v>B</v>
      </c>
      <c r="L28" s="49"/>
    </row>
    <row r="29" spans="4:19" x14ac:dyDescent="0.25">
      <c r="D29" s="48"/>
      <c r="E29" s="44" t="s">
        <v>624</v>
      </c>
      <c r="F29" s="39">
        <v>75</v>
      </c>
      <c r="G29" s="39" t="str">
        <f t="shared" si="4"/>
        <v>A+</v>
      </c>
      <c r="L29" s="49"/>
    </row>
    <row r="30" spans="4:19" x14ac:dyDescent="0.25">
      <c r="D30" s="48"/>
      <c r="E30" s="44" t="s">
        <v>625</v>
      </c>
      <c r="F30" s="39">
        <v>78</v>
      </c>
      <c r="G30" s="39" t="str">
        <f t="shared" si="4"/>
        <v>A+</v>
      </c>
      <c r="L30" s="49"/>
    </row>
    <row r="31" spans="4:19" ht="15.75" thickBot="1" x14ac:dyDescent="0.3">
      <c r="D31" s="50"/>
      <c r="E31" s="51"/>
      <c r="F31" s="51"/>
      <c r="G31" s="51"/>
      <c r="H31" s="51"/>
      <c r="I31" s="51"/>
      <c r="J31" s="51"/>
      <c r="K31" s="51"/>
      <c r="L31" s="52"/>
    </row>
    <row r="32" spans="4:19" ht="15.75" thickBot="1" x14ac:dyDescent="0.3"/>
    <row r="33" spans="2:12" x14ac:dyDescent="0.25">
      <c r="B33" s="45"/>
      <c r="C33" s="46"/>
      <c r="D33" s="46"/>
      <c r="E33" s="46"/>
      <c r="F33" s="46"/>
      <c r="G33" s="46"/>
      <c r="H33" s="46"/>
      <c r="I33" s="46"/>
      <c r="J33" s="46"/>
      <c r="K33" s="46"/>
      <c r="L33" s="47"/>
    </row>
    <row r="34" spans="2:12" x14ac:dyDescent="0.25">
      <c r="B34" s="48"/>
      <c r="C34" s="38" t="s">
        <v>608</v>
      </c>
      <c r="D34" s="38" t="s">
        <v>577</v>
      </c>
      <c r="E34" s="38" t="s">
        <v>638</v>
      </c>
      <c r="F34" s="38" t="s">
        <v>639</v>
      </c>
      <c r="J34" s="40" t="s">
        <v>640</v>
      </c>
      <c r="K34" s="40" t="s">
        <v>638</v>
      </c>
      <c r="L34" s="49"/>
    </row>
    <row r="35" spans="2:12" x14ac:dyDescent="0.25">
      <c r="B35" s="48"/>
      <c r="C35" s="41" t="s">
        <v>583</v>
      </c>
      <c r="D35" s="39">
        <v>70000</v>
      </c>
      <c r="E35" s="43">
        <f>IF(D35&gt;=75000,15%,IF(D35&gt;=70000,10%,IF(D35&gt;=50000,5%,IF(D35&lt;50000,0))))</f>
        <v>0.1</v>
      </c>
      <c r="F35" s="39">
        <f>D35*E35</f>
        <v>7000</v>
      </c>
      <c r="J35" s="39">
        <v>75000</v>
      </c>
      <c r="K35" s="42">
        <v>0.15</v>
      </c>
      <c r="L35" s="49"/>
    </row>
    <row r="36" spans="2:12" x14ac:dyDescent="0.25">
      <c r="B36" s="48"/>
      <c r="C36" s="41" t="s">
        <v>587</v>
      </c>
      <c r="D36" s="39">
        <v>50000</v>
      </c>
      <c r="E36" s="43">
        <f t="shared" ref="E36:E42" si="5">IF(D36&gt;=75000,15%,IF(D36&gt;=70000,10%,IF(D36&gt;=50000,5%,IF(D36&lt;50000,0))))</f>
        <v>0.05</v>
      </c>
      <c r="F36" s="39">
        <f t="shared" ref="F36:F42" si="6">D36*E36</f>
        <v>2500</v>
      </c>
      <c r="J36" s="39">
        <v>70000</v>
      </c>
      <c r="K36" s="42">
        <v>0.1</v>
      </c>
      <c r="L36" s="49"/>
    </row>
    <row r="37" spans="2:12" x14ac:dyDescent="0.25">
      <c r="B37" s="48"/>
      <c r="C37" s="41" t="s">
        <v>584</v>
      </c>
      <c r="D37" s="39">
        <v>45000</v>
      </c>
      <c r="E37" s="43">
        <f t="shared" si="5"/>
        <v>0</v>
      </c>
      <c r="F37" s="39">
        <f t="shared" si="6"/>
        <v>0</v>
      </c>
      <c r="J37" s="39">
        <v>50000</v>
      </c>
      <c r="K37" s="42">
        <v>0.05</v>
      </c>
      <c r="L37" s="49"/>
    </row>
    <row r="38" spans="2:12" x14ac:dyDescent="0.25">
      <c r="B38" s="48"/>
      <c r="C38" s="41" t="s">
        <v>585</v>
      </c>
      <c r="D38" s="39">
        <v>75000</v>
      </c>
      <c r="E38" s="43">
        <f t="shared" si="5"/>
        <v>0.15</v>
      </c>
      <c r="F38" s="39">
        <f t="shared" si="6"/>
        <v>11250</v>
      </c>
      <c r="J38" s="44" t="s">
        <v>641</v>
      </c>
      <c r="K38" s="44" t="s">
        <v>642</v>
      </c>
      <c r="L38" s="49"/>
    </row>
    <row r="39" spans="2:12" x14ac:dyDescent="0.25">
      <c r="B39" s="48"/>
      <c r="C39" s="41" t="s">
        <v>586</v>
      </c>
      <c r="D39" s="39">
        <v>55000</v>
      </c>
      <c r="E39" s="43">
        <f t="shared" si="5"/>
        <v>0.05</v>
      </c>
      <c r="F39" s="39">
        <f t="shared" si="6"/>
        <v>2750</v>
      </c>
      <c r="L39" s="49"/>
    </row>
    <row r="40" spans="2:12" x14ac:dyDescent="0.25">
      <c r="B40" s="48"/>
      <c r="C40" s="41" t="s">
        <v>588</v>
      </c>
      <c r="D40" s="39">
        <v>48000</v>
      </c>
      <c r="E40" s="43">
        <f t="shared" si="5"/>
        <v>0</v>
      </c>
      <c r="F40" s="39">
        <f t="shared" si="6"/>
        <v>0</v>
      </c>
      <c r="L40" s="49"/>
    </row>
    <row r="41" spans="2:12" x14ac:dyDescent="0.25">
      <c r="B41" s="48"/>
      <c r="C41" s="41" t="s">
        <v>589</v>
      </c>
      <c r="D41" s="39">
        <v>80000</v>
      </c>
      <c r="E41" s="43">
        <f t="shared" si="5"/>
        <v>0.15</v>
      </c>
      <c r="F41" s="39">
        <f t="shared" si="6"/>
        <v>12000</v>
      </c>
      <c r="L41" s="49"/>
    </row>
    <row r="42" spans="2:12" x14ac:dyDescent="0.25">
      <c r="B42" s="48"/>
      <c r="C42" s="41" t="s">
        <v>590</v>
      </c>
      <c r="D42" s="39">
        <v>40000</v>
      </c>
      <c r="E42" s="43">
        <f t="shared" si="5"/>
        <v>0</v>
      </c>
      <c r="F42" s="39">
        <f t="shared" si="6"/>
        <v>0</v>
      </c>
      <c r="L42" s="49"/>
    </row>
    <row r="43" spans="2:12" x14ac:dyDescent="0.25">
      <c r="B43" s="48"/>
      <c r="C43" s="68"/>
      <c r="E43" s="69"/>
      <c r="L43" s="49"/>
    </row>
    <row r="44" spans="2:12" x14ac:dyDescent="0.25">
      <c r="B44" s="48"/>
      <c r="C44" s="68"/>
      <c r="E44" s="69"/>
      <c r="L44" s="49"/>
    </row>
    <row r="45" spans="2:12" x14ac:dyDescent="0.25">
      <c r="B45" s="48"/>
      <c r="C45" s="70" t="s">
        <v>648</v>
      </c>
      <c r="D45" s="71">
        <f>SUMIF(D35:D42,"&gt;50000")</f>
        <v>280000</v>
      </c>
      <c r="E45" s="69"/>
      <c r="L45" s="49"/>
    </row>
    <row r="46" spans="2:12" ht="15.75" thickBot="1" x14ac:dyDescent="0.3">
      <c r="B46" s="50"/>
      <c r="C46" s="51"/>
      <c r="D46" s="51"/>
      <c r="E46" s="51"/>
      <c r="F46" s="51"/>
      <c r="G46" s="51"/>
      <c r="H46" s="51"/>
      <c r="I46" s="51"/>
      <c r="J46" s="51"/>
      <c r="K46" s="51"/>
      <c r="L46" s="52"/>
    </row>
  </sheetData>
  <sortState xmlns:xlrd2="http://schemas.microsoft.com/office/spreadsheetml/2017/richdata2" ref="D3:E14">
    <sortCondition ref="D3:D14" customList="January,February,March,April,May,June,July,August,September,October,November,December"/>
  </sortState>
  <phoneticPr fontId="12" type="noConversion"/>
  <conditionalFormatting sqref="E3:E14">
    <cfRule type="cellIs" dxfId="0" priority="1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AEB2-99B1-4F87-956C-8EC68CB27B81}">
  <dimension ref="A1:A12"/>
  <sheetViews>
    <sheetView tabSelected="1" workbookViewId="0">
      <selection activeCell="A7" sqref="A7"/>
    </sheetView>
  </sheetViews>
  <sheetFormatPr defaultRowHeight="15" x14ac:dyDescent="0.25"/>
  <cols>
    <col min="1" max="1" width="12.5703125" style="96" customWidth="1"/>
  </cols>
  <sheetData>
    <row r="1" spans="1:1" ht="18.75" x14ac:dyDescent="0.4">
      <c r="A1" s="97" t="s">
        <v>685</v>
      </c>
    </row>
    <row r="2" spans="1:1" x14ac:dyDescent="0.25">
      <c r="A2" s="95">
        <v>120</v>
      </c>
    </row>
    <row r="3" spans="1:1" x14ac:dyDescent="0.25">
      <c r="A3" s="95">
        <v>10</v>
      </c>
    </row>
    <row r="4" spans="1:1" x14ac:dyDescent="0.25">
      <c r="A4" s="95">
        <v>150</v>
      </c>
    </row>
    <row r="5" spans="1:1" x14ac:dyDescent="0.25">
      <c r="A5" s="95">
        <v>23</v>
      </c>
    </row>
    <row r="6" spans="1:1" x14ac:dyDescent="0.25">
      <c r="A6" s="95">
        <v>45</v>
      </c>
    </row>
    <row r="7" spans="1:1" x14ac:dyDescent="0.25">
      <c r="A7" s="95">
        <v>230</v>
      </c>
    </row>
    <row r="8" spans="1:1" x14ac:dyDescent="0.25">
      <c r="A8" s="95"/>
    </row>
    <row r="9" spans="1:1" x14ac:dyDescent="0.25">
      <c r="A9" s="95"/>
    </row>
    <row r="10" spans="1:1" x14ac:dyDescent="0.25">
      <c r="A10" s="95"/>
    </row>
    <row r="11" spans="1:1" x14ac:dyDescent="0.25">
      <c r="A11" s="95"/>
    </row>
    <row r="12" spans="1:1" x14ac:dyDescent="0.25">
      <c r="A12" s="95"/>
    </row>
  </sheetData>
  <phoneticPr fontId="1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5D05-95FE-496B-A37F-A62FFC99FFE7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E0CCF-A626-41AD-8D97-0A4946B1AEFD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DMart_Data_Set</vt:lpstr>
      <vt:lpstr>CustomList</vt:lpstr>
      <vt:lpstr>CustomList2</vt:lpstr>
      <vt:lpstr>CustomData</vt:lpstr>
      <vt:lpstr>Sheet1</vt:lpstr>
      <vt:lpstr>Sheet2</vt:lpstr>
      <vt:lpstr>Sheet3</vt:lpstr>
      <vt:lpstr>Orders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Raghav Churhe</cp:lastModifiedBy>
  <dcterms:created xsi:type="dcterms:W3CDTF">2026-04-17T06:18:56Z</dcterms:created>
  <dcterms:modified xsi:type="dcterms:W3CDTF">2026-07-09T03:29:14Z</dcterms:modified>
</cp:coreProperties>
</file>