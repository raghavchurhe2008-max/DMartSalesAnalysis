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Ex7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Ex8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Ex9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Ex10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Ex11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AdvExcel\"/>
    </mc:Choice>
  </mc:AlternateContent>
  <xr:revisionPtr revIDLastSave="0" documentId="13_ncr:1_{EE830D5E-6105-4D6A-9284-FC14DEFF3E55}" xr6:coauthVersionLast="47" xr6:coauthVersionMax="47" xr10:uidLastSave="{00000000-0000-0000-0000-000000000000}"/>
  <bookViews>
    <workbookView xWindow="-120" yWindow="-120" windowWidth="20730" windowHeight="11040" firstSheet="8" activeTab="12" xr2:uid="{00000000-000D-0000-FFFF-FFFF00000000}"/>
  </bookViews>
  <sheets>
    <sheet name="BoxPlot" sheetId="1" r:id="rId1"/>
    <sheet name="BoxPlot (2)" sheetId="2" r:id="rId2"/>
    <sheet name="Scatterplot1" sheetId="3" r:id="rId3"/>
    <sheet name="Scatterplot2" sheetId="13" r:id="rId4"/>
    <sheet name="WaterfallChart1" sheetId="4" r:id="rId5"/>
    <sheet name="WaterfallChart2" sheetId="5" r:id="rId6"/>
    <sheet name="WaterfallChart3" sheetId="6" r:id="rId7"/>
    <sheet name="Treemap1" sheetId="7" r:id="rId8"/>
    <sheet name="Treemap2" sheetId="8" r:id="rId9"/>
    <sheet name="Treemap3" sheetId="9" r:id="rId10"/>
    <sheet name="FunnelChart1" sheetId="10" r:id="rId11"/>
    <sheet name="FunnelChart2" sheetId="11" r:id="rId12"/>
    <sheet name="FunnelChart3" sheetId="12" r:id="rId13"/>
  </sheets>
  <definedNames>
    <definedName name="_xlchart.v1.0" hidden="1">BoxPlot!$B$4:$B$33</definedName>
    <definedName name="_xlchart.v1.1" hidden="1">'BoxPlot (2)'!$A$3</definedName>
    <definedName name="_xlchart.v1.10" hidden="1">WaterfallChart1!$B$2</definedName>
    <definedName name="_xlchart.v1.11" hidden="1">WaterfallChart1!$B$3:$B$11</definedName>
    <definedName name="_xlchart.v1.12" hidden="1">WaterfallChart2!$A$3:$A$10</definedName>
    <definedName name="_xlchart.v1.13" hidden="1">WaterfallChart2!$B$2</definedName>
    <definedName name="_xlchart.v1.14" hidden="1">WaterfallChart2!$B$3:$B$10</definedName>
    <definedName name="_xlchart.v1.15" hidden="1">WaterfallChart3!$A$3:$A$12</definedName>
    <definedName name="_xlchart.v1.16" hidden="1">WaterfallChart3!$B$2</definedName>
    <definedName name="_xlchart.v1.17" hidden="1">WaterfallChart3!$B$3:$B$12</definedName>
    <definedName name="_xlchart.v1.18" hidden="1">Treemap1!$A$4:$B$15</definedName>
    <definedName name="_xlchart.v1.19" hidden="1">Treemap1!$C$3</definedName>
    <definedName name="_xlchart.v1.2" hidden="1">'BoxPlot (2)'!$A$4:$A$13</definedName>
    <definedName name="_xlchart.v1.20" hidden="1">Treemap1!$C$4:$C$15</definedName>
    <definedName name="_xlchart.v1.21" hidden="1">Treemap2!$A$3:$B$14</definedName>
    <definedName name="_xlchart.v1.22" hidden="1">Treemap2!$C$2</definedName>
    <definedName name="_xlchart.v1.23" hidden="1">Treemap2!$C$3:$C$14</definedName>
    <definedName name="_xlchart.v1.24" hidden="1">Treemap3!$A$3:$B$14</definedName>
    <definedName name="_xlchart.v1.25" hidden="1">Treemap3!$C$2</definedName>
    <definedName name="_xlchart.v1.26" hidden="1">Treemap3!$C$3:$C$14</definedName>
    <definedName name="_xlchart.v1.3" hidden="1">'BoxPlot (2)'!$B$3</definedName>
    <definedName name="_xlchart.v1.4" hidden="1">'BoxPlot (2)'!$B$4:$B$13</definedName>
    <definedName name="_xlchart.v1.5" hidden="1">'BoxPlot (2)'!$C$3</definedName>
    <definedName name="_xlchart.v1.6" hidden="1">'BoxPlot (2)'!$C$4:$C$13</definedName>
    <definedName name="_xlchart.v1.7" hidden="1">'BoxPlot (2)'!$D$3</definedName>
    <definedName name="_xlchart.v1.8" hidden="1">'BoxPlot (2)'!$D$4:$D$13</definedName>
    <definedName name="_xlchart.v1.9" hidden="1">WaterfallChart1!$A$3:$A$11</definedName>
    <definedName name="_xlchart.v2.27" hidden="1">FunnelChart1!$A$3:$A$8</definedName>
    <definedName name="_xlchart.v2.28" hidden="1">FunnelChart1!$B$2</definedName>
    <definedName name="_xlchart.v2.29" hidden="1">FunnelChart1!$B$3:$B$8</definedName>
    <definedName name="_xlchart.v2.30" hidden="1">FunnelChart2!$A$3:$A$8</definedName>
    <definedName name="_xlchart.v2.31" hidden="1">FunnelChart2!$B$2</definedName>
    <definedName name="_xlchart.v2.32" hidden="1">FunnelChart2!$B$3:$B$8</definedName>
    <definedName name="_xlchart.v2.33" hidden="1">FunnelChart2!$A$3:$A$8</definedName>
    <definedName name="_xlchart.v2.34" hidden="1">FunnelChart2!$B$2</definedName>
    <definedName name="_xlchart.v2.35" hidden="1">FunnelChart2!$B$3:$B$8</definedName>
    <definedName name="_xlchart.v2.36" hidden="1">FunnelChart3!$A$3:$A$9</definedName>
    <definedName name="_xlchart.v2.37" hidden="1">FunnelChart3!$B$2</definedName>
    <definedName name="_xlchart.v2.38" hidden="1">FunnelChart3!$B$3:$B$9</definedName>
    <definedName name="saree">BoxPlot!$B$4:$B$33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<sst xmlns="http://schemas.openxmlformats.org/spreadsheetml/2006/main" count="174" uniqueCount="128">
  <si>
    <t>Saree Prices (₹)</t>
  </si>
  <si>
    <t>Saree No.</t>
  </si>
  <si>
    <t>Price (₹)</t>
  </si>
  <si>
    <t>Cotton</t>
  </si>
  <si>
    <t>Silk</t>
  </si>
  <si>
    <t>Designer</t>
  </si>
  <si>
    <t>Banarasi</t>
  </si>
  <si>
    <t>Statistic</t>
  </si>
  <si>
    <t>Formula</t>
  </si>
  <si>
    <t>Minimum</t>
  </si>
  <si>
    <t>Q1</t>
  </si>
  <si>
    <t>Median</t>
  </si>
  <si>
    <t>Q3</t>
  </si>
  <si>
    <t>Maximum</t>
  </si>
  <si>
    <t>IQR</t>
  </si>
  <si>
    <t>Lower Fence</t>
  </si>
  <si>
    <t>Upper Fence</t>
  </si>
  <si>
    <t>Lower Whisker</t>
  </si>
  <si>
    <t>Upper Whisker</t>
  </si>
  <si>
    <t>Result</t>
  </si>
  <si>
    <t>`=MIN(range)</t>
  </si>
  <si>
    <t>`=QUARTILE.INC(range,1)</t>
  </si>
  <si>
    <t>`=MEDIAN(range)</t>
  </si>
  <si>
    <t>`=QUARTILE.INC(range,3)</t>
  </si>
  <si>
    <t>`=Q3-Q1</t>
  </si>
  <si>
    <t>`=Q1-1.5*IQR</t>
  </si>
  <si>
    <t>`=Q3+1.5*IQR</t>
  </si>
  <si>
    <t>`=MINIFS(range,range,"&gt;="&amp;LowerFence)</t>
  </si>
  <si>
    <t>`=MAXIFS(range,range,"&lt;="&amp;UpperFence)</t>
  </si>
  <si>
    <t>`=MAX(range)</t>
  </si>
  <si>
    <t>Advertising Spend (₹ Thousands)</t>
  </si>
  <si>
    <t>Sales Revenue (₹ Thousands)</t>
  </si>
  <si>
    <t>Category</t>
  </si>
  <si>
    <t>Amount (₹)</t>
  </si>
  <si>
    <t>Starting Balance</t>
  </si>
  <si>
    <t>Sales Revenue</t>
  </si>
  <si>
    <t>Returns</t>
  </si>
  <si>
    <t>Marketing Expense</t>
  </si>
  <si>
    <t>Employee Salaries</t>
  </si>
  <si>
    <t>Rent</t>
  </si>
  <si>
    <t>Miscellaneous Income</t>
  </si>
  <si>
    <t>Taxes</t>
  </si>
  <si>
    <t>Net Profit</t>
  </si>
  <si>
    <t>Initial Sales</t>
  </si>
  <si>
    <t>Online Orders</t>
  </si>
  <si>
    <t>Offline Orders</t>
  </si>
  <si>
    <t>Product Returns</t>
  </si>
  <si>
    <t>Discounts</t>
  </si>
  <si>
    <t>Shipping Charges</t>
  </si>
  <si>
    <t>GST</t>
  </si>
  <si>
    <t>Final Revenue</t>
  </si>
  <si>
    <t>Opening Balance</t>
  </si>
  <si>
    <t>Salary</t>
  </si>
  <si>
    <t>Freelancing Income</t>
  </si>
  <si>
    <t>House Rent</t>
  </si>
  <si>
    <t>Groceries</t>
  </si>
  <si>
    <t>Electricity Bill</t>
  </si>
  <si>
    <t>Internet Bill</t>
  </si>
  <si>
    <t>Entertainment</t>
  </si>
  <si>
    <t>Savings</t>
  </si>
  <si>
    <t>Closing Balance</t>
  </si>
  <si>
    <t>Region</t>
  </si>
  <si>
    <t>Sales (₹)</t>
  </si>
  <si>
    <t>North</t>
  </si>
  <si>
    <t>Electronics</t>
  </si>
  <si>
    <t>Clothing</t>
  </si>
  <si>
    <t>Furniture</t>
  </si>
  <si>
    <t>South</t>
  </si>
  <si>
    <t>East</t>
  </si>
  <si>
    <t>West</t>
  </si>
  <si>
    <t>Saree Type</t>
  </si>
  <si>
    <t>Brand</t>
  </si>
  <si>
    <t>Kanchipuram</t>
  </si>
  <si>
    <t>Paithani</t>
  </si>
  <si>
    <t>Bengal Cotton</t>
  </si>
  <si>
    <t>Chanderi</t>
  </si>
  <si>
    <t>Kota Doria</t>
  </si>
  <si>
    <t>Sabyasachi</t>
  </si>
  <si>
    <t>Manish Malhotra</t>
  </si>
  <si>
    <t>Tarun Tahiliani</t>
  </si>
  <si>
    <t>Wedding</t>
  </si>
  <si>
    <t>Bridal Collection</t>
  </si>
  <si>
    <t>Premium Collection</t>
  </si>
  <si>
    <t>Royal Collection</t>
  </si>
  <si>
    <t>Model</t>
  </si>
  <si>
    <t>Revenue (₹)</t>
  </si>
  <si>
    <t>Apple</t>
  </si>
  <si>
    <t>iPhone 15</t>
  </si>
  <si>
    <t>iPhone 15 Pro</t>
  </si>
  <si>
    <t>iPhone 14</t>
  </si>
  <si>
    <t>Samsung</t>
  </si>
  <si>
    <t>Galaxy S24</t>
  </si>
  <si>
    <t>Galaxy A55</t>
  </si>
  <si>
    <t>Galaxy M35</t>
  </si>
  <si>
    <t>OnePlus</t>
  </si>
  <si>
    <t>OnePlus 13</t>
  </si>
  <si>
    <t>Nord 4</t>
  </si>
  <si>
    <t>Nord CE4</t>
  </si>
  <si>
    <t>Xiaomi</t>
  </si>
  <si>
    <t>Redmi Note 14</t>
  </si>
  <si>
    <t>Redmi 14C</t>
  </si>
  <si>
    <t>Xiaomi 14</t>
  </si>
  <si>
    <t>Stage</t>
  </si>
  <si>
    <t>Customers</t>
  </si>
  <si>
    <t>Website Visitors</t>
  </si>
  <si>
    <t>Product Views</t>
  </si>
  <si>
    <t>Add to Cart</t>
  </si>
  <si>
    <t>Checkout Started</t>
  </si>
  <si>
    <t>Payment Completed</t>
  </si>
  <si>
    <t>Orders Delivered</t>
  </si>
  <si>
    <t>Admission Stage</t>
  </si>
  <si>
    <t>Students</t>
  </si>
  <si>
    <t>Applications Received</t>
  </si>
  <si>
    <t>Eligible Candidates</t>
  </si>
  <si>
    <t>Entrance Exam Qualified</t>
  </si>
  <si>
    <t>Interview Cleared</t>
  </si>
  <si>
    <t>Fee Paid</t>
  </si>
  <si>
    <t>Final Admission</t>
  </si>
  <si>
    <t>Hiring Stage</t>
  </si>
  <si>
    <t>Candidates</t>
  </si>
  <si>
    <t>Resume Shortlisted</t>
  </si>
  <si>
    <t>Aptitude Test Passed</t>
  </si>
  <si>
    <t>Technical Interview</t>
  </si>
  <si>
    <t>HR Interview</t>
  </si>
  <si>
    <t>Job Offers</t>
  </si>
  <si>
    <t>Joined Company</t>
  </si>
  <si>
    <t>Product Price (₹)</t>
  </si>
  <si>
    <t>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</si>
</sst>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Scatterplot1!$B$2</c:f>
              <c:strCache>
                <c:ptCount val="1"/>
                <c:pt idx="0">
                  <c:v>Sales Revenue (₹ Thousands)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639491987245095"/>
                  <c:y val="-2.2776995243638742E-2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Scatterplot1!$A$3:$A$17</c:f>
              <c:numCache>
                <c:formatCode>General</c:formatCode>
                <c:ptCount val="15"/>
                <c:pt idx="0">
                  <c:v>20</c:v>
                </c:pt>
                <c:pt idx="1">
                  <c:v>25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  <c:pt idx="10">
                  <c:v>70</c:v>
                </c:pt>
                <c:pt idx="11">
                  <c:v>75</c:v>
                </c:pt>
                <c:pt idx="12">
                  <c:v>80</c:v>
                </c:pt>
                <c:pt idx="13">
                  <c:v>85</c:v>
                </c:pt>
                <c:pt idx="14">
                  <c:v>90</c:v>
                </c:pt>
              </c:numCache>
            </c:numRef>
          </c:xVal>
          <c:yVal>
            <c:numRef>
              <c:f>Scatterplot1!$B$3:$B$17</c:f>
              <c:numCache>
                <c:formatCode>General</c:formatCode>
                <c:ptCount val="15"/>
                <c:pt idx="0">
                  <c:v>180</c:v>
                </c:pt>
                <c:pt idx="1">
                  <c:v>195</c:v>
                </c:pt>
                <c:pt idx="2">
                  <c:v>210</c:v>
                </c:pt>
                <c:pt idx="3">
                  <c:v>235</c:v>
                </c:pt>
                <c:pt idx="4">
                  <c:v>250</c:v>
                </c:pt>
                <c:pt idx="5">
                  <c:v>265</c:v>
                </c:pt>
                <c:pt idx="6">
                  <c:v>290</c:v>
                </c:pt>
                <c:pt idx="7">
                  <c:v>310</c:v>
                </c:pt>
                <c:pt idx="8">
                  <c:v>335</c:v>
                </c:pt>
                <c:pt idx="9">
                  <c:v>355</c:v>
                </c:pt>
                <c:pt idx="10">
                  <c:v>380</c:v>
                </c:pt>
                <c:pt idx="11">
                  <c:v>395</c:v>
                </c:pt>
                <c:pt idx="12">
                  <c:v>420</c:v>
                </c:pt>
                <c:pt idx="13">
                  <c:v>445</c:v>
                </c:pt>
                <c:pt idx="14">
                  <c:v>470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29-4640-9E20-C42103F0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14847"/>
        <c:axId val="715200927"/>
      </c:scatterChart>
      <c:valAx>
        <c:axId val="71521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Advertising 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00927"/>
        <c:crosses val="autoZero"/>
        <c:crossBetween val="midCat"/>
      </c:valAx>
      <c:valAx>
        <c:axId val="71520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1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Scatterplot2!$B$2</c:f>
              <c:strCache>
                <c:ptCount val="1"/>
                <c:pt idx="0">
                  <c:v>Units Sold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Scatterplot2!$A$3:$A$17</c:f>
              <c:numCache>
                <c:formatCode>General</c:formatCode>
                <c:ptCount val="15"/>
                <c:pt idx="0">
                  <c:v>500</c:v>
                </c:pt>
                <c:pt idx="1">
                  <c:v>700</c:v>
                </c:pt>
                <c:pt idx="2">
                  <c:v>900</c:v>
                </c:pt>
                <c:pt idx="3">
                  <c:v>1100</c:v>
                </c:pt>
                <c:pt idx="4">
                  <c:v>1300</c:v>
                </c:pt>
                <c:pt idx="5">
                  <c:v>1500</c:v>
                </c:pt>
                <c:pt idx="6">
                  <c:v>1700</c:v>
                </c:pt>
                <c:pt idx="7">
                  <c:v>1900</c:v>
                </c:pt>
                <c:pt idx="8">
                  <c:v>2100</c:v>
                </c:pt>
                <c:pt idx="9">
                  <c:v>2300</c:v>
                </c:pt>
                <c:pt idx="10">
                  <c:v>2500</c:v>
                </c:pt>
                <c:pt idx="11">
                  <c:v>2700</c:v>
                </c:pt>
                <c:pt idx="12">
                  <c:v>2900</c:v>
                </c:pt>
                <c:pt idx="13">
                  <c:v>3100</c:v>
                </c:pt>
                <c:pt idx="14">
                  <c:v>3300</c:v>
                </c:pt>
              </c:numCache>
            </c:numRef>
          </c:xVal>
          <c:yVal>
            <c:numRef>
              <c:f>Scatterplot2!$B$3:$B$17</c:f>
              <c:numCache>
                <c:formatCode>General</c:formatCode>
                <c:ptCount val="15"/>
                <c:pt idx="0">
                  <c:v>950</c:v>
                </c:pt>
                <c:pt idx="1">
                  <c:v>900</c:v>
                </c:pt>
                <c:pt idx="2">
                  <c:v>850</c:v>
                </c:pt>
                <c:pt idx="3">
                  <c:v>790</c:v>
                </c:pt>
                <c:pt idx="4">
                  <c:v>730</c:v>
                </c:pt>
                <c:pt idx="5">
                  <c:v>680</c:v>
                </c:pt>
                <c:pt idx="6">
                  <c:v>610</c:v>
                </c:pt>
                <c:pt idx="7">
                  <c:v>560</c:v>
                </c:pt>
                <c:pt idx="8">
                  <c:v>500</c:v>
                </c:pt>
                <c:pt idx="9">
                  <c:v>450</c:v>
                </c:pt>
                <c:pt idx="10">
                  <c:v>390</c:v>
                </c:pt>
                <c:pt idx="11">
                  <c:v>340</c:v>
                </c:pt>
                <c:pt idx="12">
                  <c:v>290</c:v>
                </c:pt>
                <c:pt idx="13">
                  <c:v>240</c:v>
                </c:pt>
                <c:pt idx="14">
                  <c:v>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4A-43A7-A31D-56C71C894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207167"/>
        <c:axId val="715204287"/>
      </c:scatterChart>
      <c:valAx>
        <c:axId val="71520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04287"/>
        <c:crosses val="autoZero"/>
        <c:crossBetween val="midCat"/>
      </c:valAx>
      <c:valAx>
        <c:axId val="71520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Units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20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boxWhisker" uniqueId="{00000000-C53D-4732-9AE5-A059D1C27226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" lastClr="FFFFFF">
                <a:lumMod val="9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  <cx:data id="3">
      <cx:numDim type="val">
        <cx:f>_xlchart.v1.8</cx:f>
      </cx:numDim>
    </cx:data>
  </cx:chartData>
  <cx:chart>
    <cx:title pos="t" align="ctr" overlay="0">
      <cx:tx>
        <cx:txData>
          <cx:v>Chart Title</cx:v>
        </cx:txData>
      </cx:tx>
      <cx:spPr>
        <a:solidFill>
          <a:schemeClr val="accent1">
            <a:lumMod val="75000"/>
          </a:schemeClr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Chart Title</a:t>
          </a:r>
        </a:p>
      </cx:txPr>
    </cx:title>
    <cx:plotArea>
      <cx:plotAreaRegion>
        <cx:series layoutId="boxWhisker" uniqueId="{00000000-6E63-41DD-B700-44556362FA8B}">
          <cx:tx>
            <cx:txData>
              <cx:f>_xlchart.v1.1</cx:f>
              <cx:v>Cotton</cx:v>
            </cx:txData>
          </cx:tx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6E63-41DD-B700-44556362FA8B}">
          <cx:tx>
            <cx:txData>
              <cx:f>_xlchart.v1.3</cx:f>
              <cx:v>Silk</cx:v>
            </cx:txData>
          </cx:tx>
          <cx:dataId val="1"/>
          <cx:layoutPr>
            <cx:visibility meanLine="1" meanMarker="1" nonoutliers="0" outliers="1"/>
            <cx:statistics quartileMethod="exclusive"/>
          </cx:layoutPr>
        </cx:series>
        <cx:series layoutId="boxWhisker" uniqueId="{00000002-6E63-41DD-B700-44556362FA8B}">
          <cx:tx>
            <cx:txData>
              <cx:f>_xlchart.v1.5</cx:f>
              <cx:v>Designer</cx:v>
            </cx:txData>
          </cx:tx>
          <cx:dataId val="2"/>
          <cx:layoutPr>
            <cx:visibility meanLine="1" meanMarker="1" nonoutliers="0" outliers="1"/>
            <cx:statistics quartileMethod="exclusive"/>
          </cx:layoutPr>
        </cx:series>
        <cx:series layoutId="boxWhisker" uniqueId="{00000003-6E63-41DD-B700-44556362FA8B}">
          <cx:tx>
            <cx:txData>
              <cx:f>_xlchart.v1.7</cx:f>
              <cx:v>Banarasi</cx:v>
            </cx:txData>
          </cx:tx>
          <cx:dataId val="3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/>
    <cx:plotArea>
      <cx:plotAreaRegion>
        <cx:series layoutId="waterfall" uniqueId="{00000000-10FF-4E86-BA78-5FA3B48EE267}">
          <cx:tx>
            <cx:txData>
              <cx:f>_xlchart.v1.10</cx:f>
              <cx:v>Amount (₹)</cx:v>
            </cx:txData>
          </cx:tx>
          <cx:dataLabels>
            <cx:visibility seriesName="0" categoryName="0" value="1"/>
          </cx:dataLabels>
          <cx:dataId val="0"/>
          <cx:layoutPr>
            <cx:subtotals>
              <cx:idx val="0"/>
              <cx:idx val="8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/>
    <cx:plotArea>
      <cx:plotAreaRegion>
        <cx:series layoutId="waterfall" uniqueId="{00000000-93C3-4AE2-9E23-C505D8482A91}">
          <cx:tx>
            <cx:txData>
              <cx:f>_xlchart.v1.13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val">
        <cx:f>_xlchart.v1.17</cx:f>
      </cx:numDim>
    </cx:data>
  </cx:chartData>
  <cx:chart>
    <cx:title pos="t" align="ctr" overlay="0"/>
    <cx:plotArea>
      <cx:plotAreaRegion>
        <cx:series layoutId="waterfall" uniqueId="{00000000-2FD8-4F45-9BD3-AF9C043158EF}">
          <cx:tx>
            <cx:txData>
              <cx:f>_xlchart.v1.16</cx:f>
              <cx:v>Amount (₹)</cx:v>
            </cx:txData>
          </cx:tx>
          <cx:dataLabels pos="outEnd">
            <cx:visibility seriesName="0" categoryName="0" value="1"/>
          </cx:dataLabels>
          <cx:dataId val="0"/>
          <cx:layoutPr>
            <cx:subtotals>
              <cx:idx val="0"/>
              <cx:idx val="9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/>
    <cx:plotArea>
      <cx:plotAreaRegion>
        <cx:series layoutId="treemap" uniqueId="{00000000-B341-4B0B-BFF1-64B6E50FF0C7}">
          <cx:tx>
            <cx:txData>
              <cx:f>_xlchart.v1.19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size">
        <cx:f>_xlchart.v1.23</cx:f>
      </cx:numDim>
    </cx:data>
  </cx:chartData>
  <cx:chart>
    <cx:title pos="t" align="ctr" overlay="0"/>
    <cx:plotArea>
      <cx:plotAreaRegion>
        <cx:series layoutId="treemap" uniqueId="{00000000-D367-4A51-828E-6B5F7F2B257F}">
          <cx:tx>
            <cx:txData>
              <cx:f>_xlchart.v1.22</cx:f>
              <cx:v>Sales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_xlchart.v1.26</cx:f>
      </cx:numDim>
    </cx:data>
  </cx:chartData>
  <cx:chart>
    <cx:title pos="t" align="ctr" overlay="0"/>
    <cx:plotArea>
      <cx:plotAreaRegion>
        <cx:series layoutId="treemap" uniqueId="{DE2AB037-4850-4293-B27F-9E6AAC8DE13D}">
          <cx:tx>
            <cx:txData>
              <cx:f>_xlchart.v1.25</cx:f>
              <cx:v>Revenue (₹)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_xlchart.v2.27</cx:f>
      </cx:strDim>
      <cx:numDim type="val">
        <cx:f>_xlchart.v2.29</cx:f>
      </cx:numDim>
    </cx:data>
  </cx:chartData>
  <cx:chart>
    <cx:title pos="t" align="ctr" overlay="0"/>
    <cx:plotArea>
      <cx:plotAreaRegion>
        <cx:series layoutId="funnel" uniqueId="{00000000-1401-4D4E-B0F0-50D48692B31C}">
          <cx:tx>
            <cx:txData>
              <cx:f>_xlchart.v2.28</cx:f>
              <cx:v>Customers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5"/>
        <cx:tickLabels/>
      </cx:axis>
    </cx:plotArea>
    <cx:legend pos="t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_xlchart.v2.33</cx:f>
      </cx:strDim>
      <cx:numDim type="val">
        <cx:f>_xlchart.v2.35</cx:f>
      </cx:numDim>
    </cx:data>
  </cx:chartData>
  <cx:chart>
    <cx:title pos="t" align="ctr" overlay="0"/>
    <cx:plotArea>
      <cx:plotAreaRegion>
        <cx:series layoutId="funnel" uniqueId="{E2D444F2-A15B-411C-B4BD-18AF4BB4FD71}">
          <cx:tx>
            <cx:txData>
              <cx:f>_xlchart.v2.34</cx:f>
              <cx:v>Students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_xlchart.v2.36</cx:f>
      </cx:strDim>
      <cx:numDim type="val">
        <cx:f>_xlchart.v2.38</cx:f>
      </cx:numDim>
    </cx:data>
  </cx:chartData>
  <cx:chart>
    <cx:title pos="t" align="ctr" overlay="0"/>
    <cx:plotArea>
      <cx:plotAreaRegion>
        <cx:series layoutId="funnel" uniqueId="{F9C28B7D-7AA0-4EE9-AFC6-615ADB79DA0B}">
          <cx:tx>
            <cx:txData>
              <cx:f>_xlchart.v2.37</cx:f>
              <cx:v>Candidates</cx:v>
            </cx:txData>
          </cx:tx>
          <cx:dataLabels>
            <cx:visibility seriesName="0" categoryName="0" value="1"/>
          </cx:dataLabels>
          <cx:dataId val="0"/>
        </cx:series>
      </cx:plotAreaRegion>
      <cx:axis id="1">
        <cx:catScaling gapWidth="0.5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27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9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10.xml"/></Relationships>
</file>

<file path=xl/drawings/_rels/drawing13.xml.rels><?xml version="1.0" encoding="UTF-8" standalone="yes"?>
<Relationships xmlns="http://schemas.openxmlformats.org/package/2006/relationships"><Relationship Id="rId1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471006</xdr:colOff>
      <xdr:row>3</xdr:row>
      <xdr:rowOff>17826</xdr:rowOff>
    </xdr:from>
    <xdr:to>
      <xdr:col>14</xdr:col>
      <xdr:colOff>149428</xdr:colOff>
      <xdr:row>12</xdr:row>
      <xdr:rowOff>261806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CF3A522-5036-C5AD-8C57-2BF07B50DA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63598" y="821771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6397</xdr:colOff>
      <xdr:row>1</xdr:row>
      <xdr:rowOff>3837</xdr:rowOff>
    </xdr:from>
    <xdr:to>
      <xdr:col>12</xdr:col>
      <xdr:colOff>299255</xdr:colOff>
      <xdr:row>15</xdr:row>
      <xdr:rowOff>60134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4D7D24B-329E-DC4F-A492-38EC9A0106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2927" y="231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1</xdr:row>
      <xdr:rowOff>423861</xdr:rowOff>
    </xdr:from>
    <xdr:to>
      <xdr:col>12</xdr:col>
      <xdr:colOff>9524</xdr:colOff>
      <xdr:row>16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CE6C7F-CE5E-1B51-97D3-333CFBBD6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4762</xdr:rowOff>
    </xdr:from>
    <xdr:to>
      <xdr:col>10</xdr:col>
      <xdr:colOff>295275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E8288-2168-4FBB-2D0D-8A67FF195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2774</xdr:colOff>
      <xdr:row>0</xdr:row>
      <xdr:rowOff>186616</xdr:rowOff>
    </xdr:from>
    <xdr:to>
      <xdr:col>12</xdr:col>
      <xdr:colOff>18495</xdr:colOff>
      <xdr:row>11</xdr:row>
      <xdr:rowOff>9247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3F7753-B88E-9D5C-BAD7-3BC297DFEC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3793" y="186616"/>
              <a:ext cx="5508780" cy="383607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185737</xdr:rowOff>
    </xdr:from>
    <xdr:to>
      <xdr:col>13</xdr:col>
      <xdr:colOff>600075</xdr:colOff>
      <xdr:row>10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A0819C2-206C-64A7-F5E1-02C6F48896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76425" y="185737"/>
              <a:ext cx="6705600" cy="36337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14286</xdr:rowOff>
    </xdr:from>
    <xdr:to>
      <xdr:col>13</xdr:col>
      <xdr:colOff>600075</xdr:colOff>
      <xdr:row>12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9FE60C9-B395-7003-5CA4-2606D20720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8325" y="204786"/>
              <a:ext cx="6686550" cy="4005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</xdr:row>
      <xdr:rowOff>176211</xdr:rowOff>
    </xdr:from>
    <xdr:to>
      <xdr:col>14</xdr:col>
      <xdr:colOff>600075</xdr:colOff>
      <xdr:row>14</xdr:row>
      <xdr:rowOff>371474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AE3EBA9-3772-2774-BE28-C917FBA789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28875" y="366711"/>
              <a:ext cx="6705600" cy="4005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376236</xdr:rowOff>
    </xdr:from>
    <xdr:to>
      <xdr:col>14</xdr:col>
      <xdr:colOff>600075</xdr:colOff>
      <xdr:row>14</xdr:row>
      <xdr:rowOff>19049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69735A5-592D-C99C-50E3-18AEA635C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7925" y="566736"/>
              <a:ext cx="6686550" cy="4595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1</xdr:row>
      <xdr:rowOff>4761</xdr:rowOff>
    </xdr:from>
    <xdr:to>
      <xdr:col>15</xdr:col>
      <xdr:colOff>600074</xdr:colOff>
      <xdr:row>14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804334E-2B1A-256B-FA22-0815B9F706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399" y="195261"/>
              <a:ext cx="7305675" cy="45767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</xdr:row>
      <xdr:rowOff>4762</xdr:rowOff>
    </xdr:from>
    <xdr:to>
      <xdr:col>12</xdr:col>
      <xdr:colOff>0</xdr:colOff>
      <xdr:row>8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18CE1E-48DD-7CF1-09B0-9EC0A0DBA4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43100" y="195262"/>
              <a:ext cx="5467350" cy="3062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1</xdr:row>
      <xdr:rowOff>14286</xdr:rowOff>
    </xdr:from>
    <xdr:to>
      <xdr:col>13</xdr:col>
      <xdr:colOff>9524</xdr:colOff>
      <xdr:row>8</xdr:row>
      <xdr:rowOff>19049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A1A7542-F69C-6DA0-8C33-46A462337B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199" y="204786"/>
              <a:ext cx="6124575" cy="36242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590549</xdr:colOff>
      <xdr:row>1</xdr:row>
      <xdr:rowOff>4762</xdr:rowOff>
    </xdr:from>
    <xdr:to>
      <xdr:col>13</xdr:col>
      <xdr:colOff>600074</xdr:colOff>
      <xdr:row>9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21FD78-6F50-317F-2E89-AEE992ADB6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49" y="195262"/>
              <a:ext cx="6715125" cy="43957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B1" zoomScale="94" zoomScaleNormal="184" workbookViewId="0">
      <selection activeCell="E19" sqref="E19"/>
    </sheetView>
  </sheetViews>
  <sheetFormatPr defaultRowHeight="15"/>
  <cols>
    <col min="5" max="5" width="24.5703125" customWidth="1"/>
  </cols>
  <sheetData>
    <row r="1" spans="1:6" ht="18">
      <c r="A1" s="1" t="s">
        <v>0</v>
      </c>
    </row>
    <row r="3" spans="1:6" ht="30">
      <c r="A3" s="4" t="s">
        <v>1</v>
      </c>
      <c r="B3" s="4" t="s">
        <v>2</v>
      </c>
    </row>
    <row r="4" spans="1:6">
      <c r="A4" s="5">
        <v>1</v>
      </c>
      <c r="B4" s="5">
        <v>850</v>
      </c>
      <c r="D4" s="4" t="s">
        <v>7</v>
      </c>
      <c r="E4" s="4" t="s">
        <v>8</v>
      </c>
      <c r="F4" s="11" t="s">
        <v>19</v>
      </c>
    </row>
    <row r="5" spans="1:6" ht="30">
      <c r="A5" s="5">
        <v>2</v>
      </c>
      <c r="B5" s="5">
        <v>920</v>
      </c>
      <c r="D5" s="5" t="s">
        <v>9</v>
      </c>
      <c r="E5" s="10" t="s">
        <v>20</v>
      </c>
      <c r="F5" s="11">
        <f>MIN(saree)</f>
        <v>850</v>
      </c>
    </row>
    <row r="6" spans="1:6">
      <c r="A6" s="5">
        <v>3</v>
      </c>
      <c r="B6" s="5">
        <v>980</v>
      </c>
      <c r="D6" s="5" t="s">
        <v>10</v>
      </c>
      <c r="E6" s="10" t="s">
        <v>21</v>
      </c>
      <c r="F6" s="11">
        <f>_xlfn.QUARTILE.INC(saree,1)</f>
        <v>1262.5</v>
      </c>
    </row>
    <row r="7" spans="1:6">
      <c r="A7" s="5">
        <v>4</v>
      </c>
      <c r="B7" s="5">
        <v>1050</v>
      </c>
      <c r="D7" s="5" t="s">
        <v>11</v>
      </c>
      <c r="E7" s="10" t="s">
        <v>22</v>
      </c>
      <c r="F7" s="11">
        <f>MEDIAN(saree)</f>
        <v>1625</v>
      </c>
    </row>
    <row r="8" spans="1:6">
      <c r="A8" s="5">
        <v>5</v>
      </c>
      <c r="B8" s="5">
        <v>1100</v>
      </c>
      <c r="D8" s="5" t="s">
        <v>12</v>
      </c>
      <c r="E8" s="10" t="s">
        <v>23</v>
      </c>
      <c r="F8" s="11">
        <f>_xlfn.QUARTILE.INC(saree,3)</f>
        <v>2350</v>
      </c>
    </row>
    <row r="9" spans="1:6" ht="30">
      <c r="A9" s="5">
        <v>6</v>
      </c>
      <c r="B9" s="5">
        <v>1150</v>
      </c>
      <c r="D9" s="5" t="s">
        <v>13</v>
      </c>
      <c r="E9" s="10" t="s">
        <v>29</v>
      </c>
      <c r="F9" s="11">
        <f>MAX(saree)</f>
        <v>12000</v>
      </c>
    </row>
    <row r="10" spans="1:6">
      <c r="A10" s="5">
        <v>7</v>
      </c>
      <c r="B10" s="5">
        <v>1200</v>
      </c>
      <c r="D10" s="5" t="s">
        <v>14</v>
      </c>
      <c r="E10" s="10" t="s">
        <v>24</v>
      </c>
      <c r="F10" s="11">
        <f>F8-F6</f>
        <v>1087.5</v>
      </c>
    </row>
    <row r="11" spans="1:6" ht="30">
      <c r="A11" s="5">
        <v>8</v>
      </c>
      <c r="B11" s="5">
        <v>1250</v>
      </c>
      <c r="D11" s="5" t="s">
        <v>15</v>
      </c>
      <c r="E11" s="10" t="s">
        <v>25</v>
      </c>
      <c r="F11" s="11">
        <f>F6-1.5*F10</f>
        <v>-368.75</v>
      </c>
    </row>
    <row r="12" spans="1:6" ht="30">
      <c r="A12" s="5">
        <v>9</v>
      </c>
      <c r="B12" s="5">
        <v>1300</v>
      </c>
      <c r="D12" s="5" t="s">
        <v>16</v>
      </c>
      <c r="E12" s="10" t="s">
        <v>26</v>
      </c>
      <c r="F12" s="11">
        <f>F8+1.5*F10</f>
        <v>3981.25</v>
      </c>
    </row>
    <row r="13" spans="1:6" ht="30">
      <c r="A13" s="5">
        <v>10</v>
      </c>
      <c r="B13" s="5">
        <v>1350</v>
      </c>
      <c r="D13" s="5" t="s">
        <v>17</v>
      </c>
      <c r="E13" s="10" t="s">
        <v>27</v>
      </c>
      <c r="F13" s="11">
        <f>_xlfn.MINIFS(saree,saree,"&gt;="&amp;F11)</f>
        <v>850</v>
      </c>
    </row>
    <row r="14" spans="1:6" ht="30">
      <c r="A14" s="5">
        <v>11</v>
      </c>
      <c r="B14" s="5">
        <v>1400</v>
      </c>
      <c r="D14" s="5" t="s">
        <v>18</v>
      </c>
      <c r="E14" s="10" t="s">
        <v>28</v>
      </c>
      <c r="F14" s="11">
        <f>_xlfn.MAXIFS(saree,saree,"&lt;="&amp;F12)</f>
        <v>3500</v>
      </c>
    </row>
    <row r="15" spans="1:6">
      <c r="A15" s="5">
        <v>12</v>
      </c>
      <c r="B15" s="5">
        <v>1450</v>
      </c>
    </row>
    <row r="16" spans="1:6">
      <c r="A16" s="5">
        <v>13</v>
      </c>
      <c r="B16" s="5">
        <v>1500</v>
      </c>
    </row>
    <row r="17" spans="1:2">
      <c r="A17" s="5">
        <v>14</v>
      </c>
      <c r="B17" s="5">
        <v>1550</v>
      </c>
    </row>
    <row r="18" spans="1:2">
      <c r="A18" s="5">
        <v>15</v>
      </c>
      <c r="B18" s="5">
        <v>1600</v>
      </c>
    </row>
    <row r="19" spans="1:2">
      <c r="A19" s="5">
        <v>16</v>
      </c>
      <c r="B19" s="5">
        <v>1650</v>
      </c>
    </row>
    <row r="20" spans="1:2">
      <c r="A20" s="5">
        <v>17</v>
      </c>
      <c r="B20" s="5">
        <v>1700</v>
      </c>
    </row>
    <row r="21" spans="1:2">
      <c r="A21" s="5">
        <v>18</v>
      </c>
      <c r="B21" s="5">
        <v>1800</v>
      </c>
    </row>
    <row r="22" spans="1:2">
      <c r="A22" s="5">
        <v>19</v>
      </c>
      <c r="B22" s="5">
        <v>1900</v>
      </c>
    </row>
    <row r="23" spans="1:2">
      <c r="A23" s="5">
        <v>20</v>
      </c>
      <c r="B23" s="5">
        <v>2000</v>
      </c>
    </row>
    <row r="24" spans="1:2">
      <c r="A24" s="5">
        <v>21</v>
      </c>
      <c r="B24" s="5">
        <v>2100</v>
      </c>
    </row>
    <row r="25" spans="1:2">
      <c r="A25" s="5">
        <v>22</v>
      </c>
      <c r="B25" s="5">
        <v>2200</v>
      </c>
    </row>
    <row r="26" spans="1:2">
      <c r="A26" s="5">
        <v>23</v>
      </c>
      <c r="B26" s="5">
        <v>2400</v>
      </c>
    </row>
    <row r="27" spans="1:2">
      <c r="A27" s="5">
        <v>24</v>
      </c>
      <c r="B27" s="5">
        <v>2600</v>
      </c>
    </row>
    <row r="28" spans="1:2">
      <c r="A28" s="5">
        <v>25</v>
      </c>
      <c r="B28" s="5">
        <v>2800</v>
      </c>
    </row>
    <row r="29" spans="1:2">
      <c r="A29" s="5">
        <v>26</v>
      </c>
      <c r="B29" s="5">
        <v>3000</v>
      </c>
    </row>
    <row r="30" spans="1:2">
      <c r="A30" s="5">
        <v>27</v>
      </c>
      <c r="B30" s="5">
        <v>3200</v>
      </c>
    </row>
    <row r="31" spans="1:2">
      <c r="A31" s="5">
        <v>28</v>
      </c>
      <c r="B31" s="5">
        <v>3500</v>
      </c>
    </row>
    <row r="32" spans="1:2">
      <c r="A32" s="5">
        <v>29</v>
      </c>
      <c r="B32" s="5">
        <v>8500</v>
      </c>
    </row>
    <row r="33" spans="1:2">
      <c r="A33" s="5">
        <v>30</v>
      </c>
      <c r="B33" s="5">
        <v>12000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EEF3-D6EE-4A6D-AA90-DACDDDF1CE03}">
  <dimension ref="A1:D33"/>
  <sheetViews>
    <sheetView zoomScale="97" workbookViewId="0">
      <selection activeCell="E21" sqref="E21"/>
    </sheetView>
  </sheetViews>
  <sheetFormatPr defaultRowHeight="15"/>
  <sheetData>
    <row r="1" spans="1:4" ht="18">
      <c r="A1" s="1" t="s">
        <v>0</v>
      </c>
    </row>
    <row r="3" spans="1:4">
      <c r="A3" s="12" t="s">
        <v>3</v>
      </c>
      <c r="B3" s="12" t="s">
        <v>4</v>
      </c>
      <c r="C3" s="12" t="s">
        <v>5</v>
      </c>
      <c r="D3" s="12" t="s">
        <v>6</v>
      </c>
    </row>
    <row r="4" spans="1:4">
      <c r="A4" s="13">
        <v>650</v>
      </c>
      <c r="B4" s="13">
        <v>2200</v>
      </c>
      <c r="C4" s="13">
        <v>4500</v>
      </c>
      <c r="D4" s="13">
        <v>3000</v>
      </c>
    </row>
    <row r="5" spans="1:4">
      <c r="A5" s="13">
        <v>720</v>
      </c>
      <c r="B5" s="13">
        <v>2400</v>
      </c>
      <c r="C5" s="13">
        <v>5000</v>
      </c>
      <c r="D5" s="13">
        <v>3200</v>
      </c>
    </row>
    <row r="6" spans="1:4">
      <c r="A6" s="13">
        <v>800</v>
      </c>
      <c r="B6" s="13">
        <v>2600</v>
      </c>
      <c r="C6" s="13">
        <v>5500</v>
      </c>
      <c r="D6" s="13">
        <v>3400</v>
      </c>
    </row>
    <row r="7" spans="1:4">
      <c r="A7" s="13">
        <v>850</v>
      </c>
      <c r="B7" s="13">
        <v>2800</v>
      </c>
      <c r="C7" s="13">
        <v>6000</v>
      </c>
      <c r="D7" s="13">
        <v>3600</v>
      </c>
    </row>
    <row r="8" spans="1:4">
      <c r="A8" s="13">
        <v>900</v>
      </c>
      <c r="B8" s="13">
        <v>3000</v>
      </c>
      <c r="C8" s="13">
        <v>6500</v>
      </c>
      <c r="D8" s="13">
        <v>3800</v>
      </c>
    </row>
    <row r="9" spans="1:4">
      <c r="A9" s="13">
        <v>950</v>
      </c>
      <c r="B9" s="13">
        <v>3200</v>
      </c>
      <c r="C9" s="13">
        <v>7000</v>
      </c>
      <c r="D9" s="13">
        <v>4000</v>
      </c>
    </row>
    <row r="10" spans="1:4">
      <c r="A10" s="13">
        <v>1000</v>
      </c>
      <c r="B10" s="13">
        <v>3400</v>
      </c>
      <c r="C10" s="13">
        <v>7500</v>
      </c>
      <c r="D10" s="13">
        <v>4200</v>
      </c>
    </row>
    <row r="11" spans="1:4">
      <c r="A11" s="13">
        <v>1050</v>
      </c>
      <c r="B11" s="13">
        <v>3600</v>
      </c>
      <c r="C11" s="13">
        <v>8000</v>
      </c>
      <c r="D11" s="13">
        <v>4500</v>
      </c>
    </row>
    <row r="12" spans="1:4">
      <c r="A12" s="13">
        <v>1100</v>
      </c>
      <c r="B12" s="13">
        <v>3800</v>
      </c>
      <c r="C12" s="13">
        <v>12000</v>
      </c>
      <c r="D12" s="13">
        <v>5000</v>
      </c>
    </row>
    <row r="13" spans="1:4">
      <c r="A13" s="13">
        <v>1200</v>
      </c>
      <c r="B13" s="13">
        <v>4200</v>
      </c>
      <c r="C13" s="13">
        <v>18000</v>
      </c>
      <c r="D13" s="13">
        <v>6500</v>
      </c>
    </row>
    <row r="14" spans="1:4">
      <c r="A14" s="3"/>
      <c r="B14" s="3"/>
    </row>
    <row r="15" spans="1:4">
      <c r="A15" s="3"/>
      <c r="B15" s="3"/>
    </row>
    <row r="16" spans="1:4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CCDF-A16B-4D6F-B67E-778D3B9B98BE}">
  <dimension ref="A2:B17"/>
  <sheetViews>
    <sheetView workbookViewId="0">
      <selection activeCell="D20" sqref="D20"/>
    </sheetView>
  </sheetViews>
  <sheetFormatPr defaultRowHeight="15"/>
  <cols>
    <col min="1" max="1" width="11.28515625" customWidth="1"/>
    <col min="2" max="2" width="11.7109375" customWidth="1"/>
  </cols>
  <sheetData>
    <row r="2" spans="1:2" ht="90">
      <c r="A2" s="7" t="s">
        <v>30</v>
      </c>
      <c r="B2" s="7" t="s">
        <v>31</v>
      </c>
    </row>
    <row r="3" spans="1:2">
      <c r="A3" s="6">
        <v>20</v>
      </c>
      <c r="B3" s="6">
        <v>180</v>
      </c>
    </row>
    <row r="4" spans="1:2">
      <c r="A4" s="6">
        <v>25</v>
      </c>
      <c r="B4" s="6">
        <v>195</v>
      </c>
    </row>
    <row r="5" spans="1:2">
      <c r="A5" s="6">
        <v>30</v>
      </c>
      <c r="B5" s="6">
        <v>210</v>
      </c>
    </row>
    <row r="6" spans="1:2">
      <c r="A6" s="6">
        <v>35</v>
      </c>
      <c r="B6" s="6">
        <v>235</v>
      </c>
    </row>
    <row r="7" spans="1:2">
      <c r="A7" s="6">
        <v>40</v>
      </c>
      <c r="B7" s="6">
        <v>250</v>
      </c>
    </row>
    <row r="8" spans="1:2">
      <c r="A8" s="6">
        <v>45</v>
      </c>
      <c r="B8" s="6">
        <v>265</v>
      </c>
    </row>
    <row r="9" spans="1:2">
      <c r="A9" s="6">
        <v>50</v>
      </c>
      <c r="B9" s="6">
        <v>290</v>
      </c>
    </row>
    <row r="10" spans="1:2">
      <c r="A10" s="6">
        <v>55</v>
      </c>
      <c r="B10" s="6">
        <v>310</v>
      </c>
    </row>
    <row r="11" spans="1:2">
      <c r="A11" s="6">
        <v>60</v>
      </c>
      <c r="B11" s="6">
        <v>335</v>
      </c>
    </row>
    <row r="12" spans="1:2">
      <c r="A12" s="6">
        <v>65</v>
      </c>
      <c r="B12" s="6">
        <v>355</v>
      </c>
    </row>
    <row r="13" spans="1:2">
      <c r="A13" s="6">
        <v>70</v>
      </c>
      <c r="B13" s="6">
        <v>380</v>
      </c>
    </row>
    <row r="14" spans="1:2">
      <c r="A14" s="6">
        <v>75</v>
      </c>
      <c r="B14" s="6">
        <v>395</v>
      </c>
    </row>
    <row r="15" spans="1:2">
      <c r="A15" s="6">
        <v>80</v>
      </c>
      <c r="B15" s="6">
        <v>420</v>
      </c>
    </row>
    <row r="16" spans="1:2">
      <c r="A16" s="6">
        <v>85</v>
      </c>
      <c r="B16" s="6">
        <v>445</v>
      </c>
    </row>
    <row r="17" spans="1:2">
      <c r="A17" s="6">
        <v>90</v>
      </c>
      <c r="B17" s="6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DC4-D078-4ECE-8ECB-CC7EF237A07A}">
  <dimension ref="A2:B17"/>
  <sheetViews>
    <sheetView workbookViewId="0">
      <selection activeCell="M5" sqref="M5"/>
    </sheetView>
  </sheetViews>
  <sheetFormatPr defaultRowHeight="15"/>
  <sheetData>
    <row r="2" spans="1:2" ht="30">
      <c r="A2" s="8" t="s">
        <v>126</v>
      </c>
      <c r="B2" s="8" t="s">
        <v>127</v>
      </c>
    </row>
    <row r="3" spans="1:2">
      <c r="A3" s="9">
        <v>500</v>
      </c>
      <c r="B3" s="9">
        <v>950</v>
      </c>
    </row>
    <row r="4" spans="1:2">
      <c r="A4" s="9">
        <v>700</v>
      </c>
      <c r="B4" s="9">
        <v>900</v>
      </c>
    </row>
    <row r="5" spans="1:2">
      <c r="A5" s="9">
        <v>900</v>
      </c>
      <c r="B5" s="9">
        <v>850</v>
      </c>
    </row>
    <row r="6" spans="1:2">
      <c r="A6" s="9">
        <v>1100</v>
      </c>
      <c r="B6" s="9">
        <v>790</v>
      </c>
    </row>
    <row r="7" spans="1:2">
      <c r="A7" s="9">
        <v>1300</v>
      </c>
      <c r="B7" s="9">
        <v>730</v>
      </c>
    </row>
    <row r="8" spans="1:2">
      <c r="A8" s="9">
        <v>1500</v>
      </c>
      <c r="B8" s="9">
        <v>680</v>
      </c>
    </row>
    <row r="9" spans="1:2">
      <c r="A9" s="9">
        <v>1700</v>
      </c>
      <c r="B9" s="9">
        <v>610</v>
      </c>
    </row>
    <row r="10" spans="1:2">
      <c r="A10" s="9">
        <v>1900</v>
      </c>
      <c r="B10" s="9">
        <v>560</v>
      </c>
    </row>
    <row r="11" spans="1:2">
      <c r="A11" s="9">
        <v>2100</v>
      </c>
      <c r="B11" s="9">
        <v>500</v>
      </c>
    </row>
    <row r="12" spans="1:2">
      <c r="A12" s="9">
        <v>2300</v>
      </c>
      <c r="B12" s="9">
        <v>450</v>
      </c>
    </row>
    <row r="13" spans="1:2">
      <c r="A13" s="9">
        <v>2500</v>
      </c>
      <c r="B13" s="9">
        <v>390</v>
      </c>
    </row>
    <row r="14" spans="1:2">
      <c r="A14" s="9">
        <v>2700</v>
      </c>
      <c r="B14" s="9">
        <v>340</v>
      </c>
    </row>
    <row r="15" spans="1:2">
      <c r="A15" s="9">
        <v>2900</v>
      </c>
      <c r="B15" s="9">
        <v>290</v>
      </c>
    </row>
    <row r="16" spans="1:2">
      <c r="A16" s="9">
        <v>3100</v>
      </c>
      <c r="B16" s="9">
        <v>240</v>
      </c>
    </row>
    <row r="17" spans="1:2">
      <c r="A17" s="9">
        <v>3300</v>
      </c>
      <c r="B17" s="9">
        <v>180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F2FE4-BAB6-47CB-A4FC-CE6603FF5666}">
  <dimension ref="A2:B11"/>
  <sheetViews>
    <sheetView zoomScale="103" workbookViewId="0">
      <selection activeCell="H14" sqref="H14"/>
    </sheetView>
  </sheetViews>
  <sheetFormatPr defaultRowHeight="15"/>
  <sheetData>
    <row r="2" spans="1:2" ht="30">
      <c r="A2" s="2" t="s">
        <v>32</v>
      </c>
      <c r="B2" s="7" t="s">
        <v>33</v>
      </c>
    </row>
    <row r="3" spans="1:2" ht="30">
      <c r="A3" s="3" t="s">
        <v>34</v>
      </c>
      <c r="B3" s="6">
        <v>500000</v>
      </c>
    </row>
    <row r="4" spans="1:2" ht="30">
      <c r="A4" s="3" t="s">
        <v>35</v>
      </c>
      <c r="B4" s="6">
        <v>250000</v>
      </c>
    </row>
    <row r="5" spans="1:2">
      <c r="A5" s="3" t="s">
        <v>36</v>
      </c>
      <c r="B5" s="6">
        <v>-30000</v>
      </c>
    </row>
    <row r="6" spans="1:2" ht="45">
      <c r="A6" s="3" t="s">
        <v>37</v>
      </c>
      <c r="B6" s="6">
        <v>-50000</v>
      </c>
    </row>
    <row r="7" spans="1:2" ht="45">
      <c r="A7" s="3" t="s">
        <v>38</v>
      </c>
      <c r="B7" s="6">
        <v>-120000</v>
      </c>
    </row>
    <row r="8" spans="1:2">
      <c r="A8" s="3" t="s">
        <v>39</v>
      </c>
      <c r="B8" s="6">
        <v>-30000</v>
      </c>
    </row>
    <row r="9" spans="1:2" ht="45">
      <c r="A9" s="3" t="s">
        <v>40</v>
      </c>
      <c r="B9" s="6">
        <v>20000</v>
      </c>
    </row>
    <row r="10" spans="1:2">
      <c r="A10" s="3" t="s">
        <v>41</v>
      </c>
      <c r="B10" s="6">
        <v>-40000</v>
      </c>
    </row>
    <row r="11" spans="1:2" ht="30">
      <c r="A11" s="3" t="s">
        <v>42</v>
      </c>
      <c r="B11" s="6">
        <v>500000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1833B-D5CD-49D5-A875-219CBBDDA7F5}">
  <dimension ref="A1:B10"/>
  <sheetViews>
    <sheetView workbookViewId="0">
      <selection activeCell="E14" sqref="E14"/>
    </sheetView>
  </sheetViews>
  <sheetFormatPr defaultRowHeight="15"/>
  <cols>
    <col min="1" max="1" width="10.85546875" customWidth="1"/>
    <col min="2" max="2" width="12.5703125" customWidth="1"/>
  </cols>
  <sheetData>
    <row r="1" spans="1:2" ht="14.25" customHeight="1"/>
    <row r="2" spans="1:2">
      <c r="A2" s="4" t="s">
        <v>32</v>
      </c>
      <c r="B2" s="8" t="s">
        <v>33</v>
      </c>
    </row>
    <row r="3" spans="1:2" ht="30">
      <c r="A3" s="5" t="s">
        <v>43</v>
      </c>
      <c r="B3" s="9">
        <v>1000000</v>
      </c>
    </row>
    <row r="4" spans="1:2" ht="30">
      <c r="A4" s="5" t="s">
        <v>44</v>
      </c>
      <c r="B4" s="9">
        <v>350000</v>
      </c>
    </row>
    <row r="5" spans="1:2" ht="30">
      <c r="A5" s="5" t="s">
        <v>45</v>
      </c>
      <c r="B5" s="9">
        <v>200000</v>
      </c>
    </row>
    <row r="6" spans="1:2" ht="30">
      <c r="A6" s="5" t="s">
        <v>46</v>
      </c>
      <c r="B6" s="9">
        <v>-80000</v>
      </c>
    </row>
    <row r="7" spans="1:2" ht="30">
      <c r="A7" s="5" t="s">
        <v>47</v>
      </c>
      <c r="B7" s="9">
        <v>-120000</v>
      </c>
    </row>
    <row r="8" spans="1:2" ht="45">
      <c r="A8" s="5" t="s">
        <v>48</v>
      </c>
      <c r="B8" s="9">
        <v>50000</v>
      </c>
    </row>
    <row r="9" spans="1:2">
      <c r="A9" s="5" t="s">
        <v>49</v>
      </c>
      <c r="B9" s="9">
        <v>-70000</v>
      </c>
    </row>
    <row r="10" spans="1:2" ht="45">
      <c r="A10" s="5" t="s">
        <v>50</v>
      </c>
      <c r="B10" s="9">
        <v>1330000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7017-E945-44BE-BF43-5524C9326878}">
  <dimension ref="A2:B12"/>
  <sheetViews>
    <sheetView workbookViewId="0">
      <selection activeCell="Q8" sqref="Q8"/>
    </sheetView>
  </sheetViews>
  <sheetFormatPr defaultRowHeight="15"/>
  <cols>
    <col min="1" max="1" width="14" customWidth="1"/>
    <col min="2" max="2" width="11.5703125" customWidth="1"/>
  </cols>
  <sheetData>
    <row r="2" spans="1:2">
      <c r="A2" s="4" t="s">
        <v>32</v>
      </c>
      <c r="B2" s="8" t="s">
        <v>33</v>
      </c>
    </row>
    <row r="3" spans="1:2" ht="30">
      <c r="A3" s="5" t="s">
        <v>51</v>
      </c>
      <c r="B3" s="9">
        <v>50000</v>
      </c>
    </row>
    <row r="4" spans="1:2">
      <c r="A4" s="5" t="s">
        <v>52</v>
      </c>
      <c r="B4" s="9">
        <v>60000</v>
      </c>
    </row>
    <row r="5" spans="1:2" ht="45">
      <c r="A5" s="5" t="s">
        <v>53</v>
      </c>
      <c r="B5" s="9">
        <v>15000</v>
      </c>
    </row>
    <row r="6" spans="1:2" ht="30">
      <c r="A6" s="5" t="s">
        <v>54</v>
      </c>
      <c r="B6" s="9">
        <v>-18000</v>
      </c>
    </row>
    <row r="7" spans="1:2" ht="30">
      <c r="A7" s="5" t="s">
        <v>55</v>
      </c>
      <c r="B7" s="9">
        <v>-9000</v>
      </c>
    </row>
    <row r="8" spans="1:2" ht="30">
      <c r="A8" s="5" t="s">
        <v>56</v>
      </c>
      <c r="B8" s="9">
        <v>-2500</v>
      </c>
    </row>
    <row r="9" spans="1:2" ht="30">
      <c r="A9" s="5" t="s">
        <v>57</v>
      </c>
      <c r="B9" s="9">
        <v>-1200</v>
      </c>
    </row>
    <row r="10" spans="1:2" ht="30">
      <c r="A10" s="5" t="s">
        <v>58</v>
      </c>
      <c r="B10" s="9">
        <v>-4500</v>
      </c>
    </row>
    <row r="11" spans="1:2">
      <c r="A11" s="5" t="s">
        <v>59</v>
      </c>
      <c r="B11" s="9">
        <v>-10000</v>
      </c>
    </row>
    <row r="12" spans="1:2" ht="30">
      <c r="A12" s="5" t="s">
        <v>60</v>
      </c>
      <c r="B12" s="9">
        <v>79800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708A-CC49-40B2-B4F4-1446D2216D3B}">
  <dimension ref="A3:C15"/>
  <sheetViews>
    <sheetView workbookViewId="0">
      <selection activeCell="S6" sqref="S6"/>
    </sheetView>
  </sheetViews>
  <sheetFormatPr defaultRowHeight="15"/>
  <sheetData>
    <row r="3" spans="1:3">
      <c r="A3" s="4" t="s">
        <v>61</v>
      </c>
      <c r="B3" s="4" t="s">
        <v>32</v>
      </c>
      <c r="C3" s="8" t="s">
        <v>62</v>
      </c>
    </row>
    <row r="4" spans="1:3" ht="30">
      <c r="A4" s="5" t="s">
        <v>63</v>
      </c>
      <c r="B4" s="5" t="s">
        <v>64</v>
      </c>
      <c r="C4" s="9">
        <v>850000</v>
      </c>
    </row>
    <row r="5" spans="1:3">
      <c r="A5" s="5" t="s">
        <v>63</v>
      </c>
      <c r="B5" s="5" t="s">
        <v>65</v>
      </c>
      <c r="C5" s="9">
        <v>520000</v>
      </c>
    </row>
    <row r="6" spans="1:3" ht="30">
      <c r="A6" s="5" t="s">
        <v>63</v>
      </c>
      <c r="B6" s="5" t="s">
        <v>66</v>
      </c>
      <c r="C6" s="9">
        <v>310000</v>
      </c>
    </row>
    <row r="7" spans="1:3" ht="30">
      <c r="A7" s="5" t="s">
        <v>67</v>
      </c>
      <c r="B7" s="5" t="s">
        <v>64</v>
      </c>
      <c r="C7" s="9">
        <v>920000</v>
      </c>
    </row>
    <row r="8" spans="1:3">
      <c r="A8" s="5" t="s">
        <v>67</v>
      </c>
      <c r="B8" s="5" t="s">
        <v>65</v>
      </c>
      <c r="C8" s="9">
        <v>480000</v>
      </c>
    </row>
    <row r="9" spans="1:3" ht="30">
      <c r="A9" s="5" t="s">
        <v>67</v>
      </c>
      <c r="B9" s="5" t="s">
        <v>66</v>
      </c>
      <c r="C9" s="9">
        <v>370000</v>
      </c>
    </row>
    <row r="10" spans="1:3" ht="30">
      <c r="A10" s="5" t="s">
        <v>68</v>
      </c>
      <c r="B10" s="5" t="s">
        <v>64</v>
      </c>
      <c r="C10" s="9">
        <v>610000</v>
      </c>
    </row>
    <row r="11" spans="1:3">
      <c r="A11" s="5" t="s">
        <v>68</v>
      </c>
      <c r="B11" s="5" t="s">
        <v>65</v>
      </c>
      <c r="C11" s="9">
        <v>430000</v>
      </c>
    </row>
    <row r="12" spans="1:3" ht="30">
      <c r="A12" s="5" t="s">
        <v>68</v>
      </c>
      <c r="B12" s="5" t="s">
        <v>66</v>
      </c>
      <c r="C12" s="9">
        <v>290000</v>
      </c>
    </row>
    <row r="13" spans="1:3" ht="30">
      <c r="A13" s="5" t="s">
        <v>69</v>
      </c>
      <c r="B13" s="5" t="s">
        <v>64</v>
      </c>
      <c r="C13" s="9">
        <v>980000</v>
      </c>
    </row>
    <row r="14" spans="1:3">
      <c r="A14" s="5" t="s">
        <v>69</v>
      </c>
      <c r="B14" s="5" t="s">
        <v>65</v>
      </c>
      <c r="C14" s="9">
        <v>640000</v>
      </c>
    </row>
    <row r="15" spans="1:3" ht="30">
      <c r="A15" s="5" t="s">
        <v>69</v>
      </c>
      <c r="B15" s="5" t="s">
        <v>66</v>
      </c>
      <c r="C15" s="9">
        <v>420000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18F85-B405-416C-96BC-08ED058144AD}">
  <dimension ref="A2:C14"/>
  <sheetViews>
    <sheetView topLeftCell="A6" workbookViewId="0">
      <selection activeCell="R6" sqref="R6"/>
    </sheetView>
  </sheetViews>
  <sheetFormatPr defaultRowHeight="15"/>
  <cols>
    <col min="2" max="2" width="13" customWidth="1"/>
    <col min="3" max="3" width="9.7109375" customWidth="1"/>
  </cols>
  <sheetData>
    <row r="2" spans="1:3" ht="30">
      <c r="A2" s="4" t="s">
        <v>70</v>
      </c>
      <c r="B2" s="4" t="s">
        <v>71</v>
      </c>
      <c r="C2" s="8" t="s">
        <v>62</v>
      </c>
    </row>
    <row r="3" spans="1:3" ht="30">
      <c r="A3" s="5" t="s">
        <v>4</v>
      </c>
      <c r="B3" s="5" t="s">
        <v>72</v>
      </c>
      <c r="C3" s="9">
        <v>450000</v>
      </c>
    </row>
    <row r="4" spans="1:3">
      <c r="A4" s="5" t="s">
        <v>4</v>
      </c>
      <c r="B4" s="5" t="s">
        <v>6</v>
      </c>
      <c r="C4" s="9">
        <v>380000</v>
      </c>
    </row>
    <row r="5" spans="1:3">
      <c r="A5" s="5" t="s">
        <v>4</v>
      </c>
      <c r="B5" s="5" t="s">
        <v>73</v>
      </c>
      <c r="C5" s="9">
        <v>320000</v>
      </c>
    </row>
    <row r="6" spans="1:3" ht="30">
      <c r="A6" s="5" t="s">
        <v>3</v>
      </c>
      <c r="B6" s="5" t="s">
        <v>74</v>
      </c>
      <c r="C6" s="9">
        <v>250000</v>
      </c>
    </row>
    <row r="7" spans="1:3">
      <c r="A7" s="5" t="s">
        <v>3</v>
      </c>
      <c r="B7" s="5" t="s">
        <v>75</v>
      </c>
      <c r="C7" s="9">
        <v>220000</v>
      </c>
    </row>
    <row r="8" spans="1:3" ht="30">
      <c r="A8" s="5" t="s">
        <v>3</v>
      </c>
      <c r="B8" s="5" t="s">
        <v>76</v>
      </c>
      <c r="C8" s="9">
        <v>180000</v>
      </c>
    </row>
    <row r="9" spans="1:3" ht="30">
      <c r="A9" s="5" t="s">
        <v>5</v>
      </c>
      <c r="B9" s="5" t="s">
        <v>77</v>
      </c>
      <c r="C9" s="9">
        <v>620000</v>
      </c>
    </row>
    <row r="10" spans="1:3" ht="30">
      <c r="A10" s="5" t="s">
        <v>5</v>
      </c>
      <c r="B10" s="5" t="s">
        <v>78</v>
      </c>
      <c r="C10" s="9">
        <v>580000</v>
      </c>
    </row>
    <row r="11" spans="1:3" ht="30">
      <c r="A11" s="5" t="s">
        <v>5</v>
      </c>
      <c r="B11" s="5" t="s">
        <v>79</v>
      </c>
      <c r="C11" s="9">
        <v>510000</v>
      </c>
    </row>
    <row r="12" spans="1:3" ht="45">
      <c r="A12" s="5" t="s">
        <v>80</v>
      </c>
      <c r="B12" s="5" t="s">
        <v>81</v>
      </c>
      <c r="C12" s="9">
        <v>760000</v>
      </c>
    </row>
    <row r="13" spans="1:3" ht="45">
      <c r="A13" s="5" t="s">
        <v>80</v>
      </c>
      <c r="B13" s="5" t="s">
        <v>82</v>
      </c>
      <c r="C13" s="9">
        <v>680000</v>
      </c>
    </row>
    <row r="14" spans="1:3" ht="45">
      <c r="A14" s="5" t="s">
        <v>80</v>
      </c>
      <c r="B14" s="5" t="s">
        <v>83</v>
      </c>
      <c r="C14" s="9">
        <v>590000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F055-9DB3-445A-9D63-34C4043AF733}">
  <dimension ref="A2:C14"/>
  <sheetViews>
    <sheetView workbookViewId="0">
      <selection activeCell="Q5" sqref="Q5"/>
    </sheetView>
  </sheetViews>
  <sheetFormatPr defaultRowHeight="15"/>
  <sheetData>
    <row r="2" spans="1:3" ht="30">
      <c r="A2" s="4" t="s">
        <v>71</v>
      </c>
      <c r="B2" s="4" t="s">
        <v>84</v>
      </c>
      <c r="C2" s="8" t="s">
        <v>85</v>
      </c>
    </row>
    <row r="3" spans="1:3" ht="30">
      <c r="A3" s="5" t="s">
        <v>86</v>
      </c>
      <c r="B3" s="5" t="s">
        <v>87</v>
      </c>
      <c r="C3" s="9">
        <v>1500000</v>
      </c>
    </row>
    <row r="4" spans="1:3" ht="30">
      <c r="A4" s="5" t="s">
        <v>86</v>
      </c>
      <c r="B4" s="5" t="s">
        <v>88</v>
      </c>
      <c r="C4" s="9">
        <v>1900000</v>
      </c>
    </row>
    <row r="5" spans="1:3" ht="30">
      <c r="A5" s="5" t="s">
        <v>86</v>
      </c>
      <c r="B5" s="5" t="s">
        <v>89</v>
      </c>
      <c r="C5" s="9">
        <v>1200000</v>
      </c>
    </row>
    <row r="6" spans="1:3" ht="30">
      <c r="A6" s="5" t="s">
        <v>90</v>
      </c>
      <c r="B6" s="5" t="s">
        <v>91</v>
      </c>
      <c r="C6" s="9">
        <v>1700000</v>
      </c>
    </row>
    <row r="7" spans="1:3" ht="30">
      <c r="A7" s="5" t="s">
        <v>90</v>
      </c>
      <c r="B7" s="5" t="s">
        <v>92</v>
      </c>
      <c r="C7" s="9">
        <v>900000</v>
      </c>
    </row>
    <row r="8" spans="1:3" ht="30">
      <c r="A8" s="5" t="s">
        <v>90</v>
      </c>
      <c r="B8" s="5" t="s">
        <v>93</v>
      </c>
      <c r="C8" s="9">
        <v>700000</v>
      </c>
    </row>
    <row r="9" spans="1:3" ht="30">
      <c r="A9" s="5" t="s">
        <v>94</v>
      </c>
      <c r="B9" s="5" t="s">
        <v>95</v>
      </c>
      <c r="C9" s="9">
        <v>1300000</v>
      </c>
    </row>
    <row r="10" spans="1:3">
      <c r="A10" s="5" t="s">
        <v>94</v>
      </c>
      <c r="B10" s="5" t="s">
        <v>96</v>
      </c>
      <c r="C10" s="9">
        <v>850000</v>
      </c>
    </row>
    <row r="11" spans="1:3">
      <c r="A11" s="5" t="s">
        <v>94</v>
      </c>
      <c r="B11" s="5" t="s">
        <v>97</v>
      </c>
      <c r="C11" s="9">
        <v>600000</v>
      </c>
    </row>
    <row r="12" spans="1:3" ht="30">
      <c r="A12" s="5" t="s">
        <v>98</v>
      </c>
      <c r="B12" s="5" t="s">
        <v>99</v>
      </c>
      <c r="C12" s="9">
        <v>750000</v>
      </c>
    </row>
    <row r="13" spans="1:3" ht="30">
      <c r="A13" s="5" t="s">
        <v>98</v>
      </c>
      <c r="B13" s="5" t="s">
        <v>100</v>
      </c>
      <c r="C13" s="9">
        <v>550000</v>
      </c>
    </row>
    <row r="14" spans="1:3" ht="30">
      <c r="A14" s="5" t="s">
        <v>98</v>
      </c>
      <c r="B14" s="5" t="s">
        <v>101</v>
      </c>
      <c r="C14" s="9">
        <v>980000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91D9-D0BD-4A4B-9F25-B87B2605E4E9}">
  <dimension ref="A2:B8"/>
  <sheetViews>
    <sheetView workbookViewId="0">
      <selection activeCell="N7" sqref="N7"/>
    </sheetView>
  </sheetViews>
  <sheetFormatPr defaultRowHeight="15"/>
  <cols>
    <col min="2" max="2" width="10.5703125" customWidth="1"/>
  </cols>
  <sheetData>
    <row r="2" spans="1:2" ht="30">
      <c r="A2" s="4" t="s">
        <v>102</v>
      </c>
      <c r="B2" s="8" t="s">
        <v>103</v>
      </c>
    </row>
    <row r="3" spans="1:2" ht="30">
      <c r="A3" s="5" t="s">
        <v>104</v>
      </c>
      <c r="B3" s="9">
        <v>25000</v>
      </c>
    </row>
    <row r="4" spans="1:2" ht="30">
      <c r="A4" s="5" t="s">
        <v>105</v>
      </c>
      <c r="B4" s="9">
        <v>18000</v>
      </c>
    </row>
    <row r="5" spans="1:2" ht="30">
      <c r="A5" s="5" t="s">
        <v>106</v>
      </c>
      <c r="B5" s="9">
        <v>9000</v>
      </c>
    </row>
    <row r="6" spans="1:2" ht="30">
      <c r="A6" s="5" t="s">
        <v>107</v>
      </c>
      <c r="B6" s="9">
        <v>6000</v>
      </c>
    </row>
    <row r="7" spans="1:2" ht="45">
      <c r="A7" s="5" t="s">
        <v>108</v>
      </c>
      <c r="B7" s="9">
        <v>4500</v>
      </c>
    </row>
    <row r="8" spans="1:2" ht="45">
      <c r="A8" s="5" t="s">
        <v>109</v>
      </c>
      <c r="B8" s="9">
        <v>4200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DC20-38EF-461A-B491-C124DAEBCC64}">
  <dimension ref="A2:B8"/>
  <sheetViews>
    <sheetView workbookViewId="0">
      <selection activeCell="Q5" sqref="Q5"/>
    </sheetView>
  </sheetViews>
  <sheetFormatPr defaultRowHeight="15"/>
  <cols>
    <col min="1" max="1" width="11.7109375" customWidth="1"/>
  </cols>
  <sheetData>
    <row r="2" spans="1:2" ht="30">
      <c r="A2" s="4" t="s">
        <v>110</v>
      </c>
      <c r="B2" s="8" t="s">
        <v>111</v>
      </c>
    </row>
    <row r="3" spans="1:2" ht="45">
      <c r="A3" s="5" t="s">
        <v>112</v>
      </c>
      <c r="B3" s="9">
        <v>5000</v>
      </c>
    </row>
    <row r="4" spans="1:2" ht="45">
      <c r="A4" s="5" t="s">
        <v>113</v>
      </c>
      <c r="B4" s="9">
        <v>4200</v>
      </c>
    </row>
    <row r="5" spans="1:2" ht="60">
      <c r="A5" s="5" t="s">
        <v>114</v>
      </c>
      <c r="B5" s="9">
        <v>2800</v>
      </c>
    </row>
    <row r="6" spans="1:2" ht="45">
      <c r="A6" s="5" t="s">
        <v>115</v>
      </c>
      <c r="B6" s="9">
        <v>1800</v>
      </c>
    </row>
    <row r="7" spans="1:2">
      <c r="A7" s="5" t="s">
        <v>116</v>
      </c>
      <c r="B7" s="9">
        <v>1200</v>
      </c>
    </row>
    <row r="8" spans="1:2" ht="45">
      <c r="A8" s="5" t="s">
        <v>117</v>
      </c>
      <c r="B8" s="9">
        <v>1000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D4BCA-B940-494E-A9B0-1A91EEDE6316}">
  <dimension ref="A2:B9"/>
  <sheetViews>
    <sheetView tabSelected="1" workbookViewId="0">
      <selection activeCell="R5" sqref="R5"/>
    </sheetView>
  </sheetViews>
  <sheetFormatPr defaultRowHeight="15"/>
  <cols>
    <col min="1" max="1" width="12.42578125" customWidth="1"/>
    <col min="2" max="2" width="10.5703125" customWidth="1"/>
  </cols>
  <sheetData>
    <row r="2" spans="1:2" ht="30">
      <c r="A2" s="4" t="s">
        <v>118</v>
      </c>
      <c r="B2" s="8" t="s">
        <v>119</v>
      </c>
    </row>
    <row r="3" spans="1:2" ht="45">
      <c r="A3" s="5" t="s">
        <v>112</v>
      </c>
      <c r="B3" s="9">
        <v>2000</v>
      </c>
    </row>
    <row r="4" spans="1:2" ht="45">
      <c r="A4" s="5" t="s">
        <v>120</v>
      </c>
      <c r="B4" s="9">
        <v>850</v>
      </c>
    </row>
    <row r="5" spans="1:2" ht="45">
      <c r="A5" s="5" t="s">
        <v>121</v>
      </c>
      <c r="B5" s="9">
        <v>500</v>
      </c>
    </row>
    <row r="6" spans="1:2" ht="60">
      <c r="A6" s="5" t="s">
        <v>122</v>
      </c>
      <c r="B6" s="9">
        <v>220</v>
      </c>
    </row>
    <row r="7" spans="1:2" ht="45">
      <c r="A7" s="5" t="s">
        <v>123</v>
      </c>
      <c r="B7" s="9">
        <v>120</v>
      </c>
    </row>
    <row r="8" spans="1:2" ht="30">
      <c r="A8" s="5" t="s">
        <v>124</v>
      </c>
      <c r="B8" s="9">
        <v>60</v>
      </c>
    </row>
    <row r="9" spans="1:2" ht="45">
      <c r="A9" s="5" t="s">
        <v>125</v>
      </c>
      <c r="B9" s="9">
        <v>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BoxPlot</vt:lpstr>
      <vt:lpstr>BoxPlot (2)</vt:lpstr>
      <vt:lpstr>Scatterplot1</vt:lpstr>
      <vt:lpstr>Scatterplot2</vt:lpstr>
      <vt:lpstr>WaterfallChart1</vt:lpstr>
      <vt:lpstr>WaterfallChart2</vt:lpstr>
      <vt:lpstr>WaterfallChart3</vt:lpstr>
      <vt:lpstr>Treemap1</vt:lpstr>
      <vt:lpstr>Treemap2</vt:lpstr>
      <vt:lpstr>Treemap3</vt:lpstr>
      <vt:lpstr>FunnelChart1</vt:lpstr>
      <vt:lpstr>FunnelChart2</vt:lpstr>
      <vt:lpstr>FunnelChart3</vt:lpstr>
      <vt:lpstr>saree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Raghav Churhe</cp:lastModifiedBy>
  <dcterms:created xsi:type="dcterms:W3CDTF">2015-06-05T18:17:20Z</dcterms:created>
  <dcterms:modified xsi:type="dcterms:W3CDTF">2026-07-22T02:54:43Z</dcterms:modified>
</cp:coreProperties>
</file>